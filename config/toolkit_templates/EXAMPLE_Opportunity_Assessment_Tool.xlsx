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hidePivotFieldList="1"/>
  <mc:AlternateContent xmlns:mc="http://schemas.openxmlformats.org/markup-compatibility/2006">
    <mc:Choice Requires="x15">
      <x15ac:absPath xmlns:x15ac="http://schemas.microsoft.com/office/spreadsheetml/2010/11/ac" url="https://publicit3.sharepoint.com/sites/ToolkitDevelopment/Shared Documents/ISO27001 v12/CERTIKIT ISO27001 Toolkit V12/06. Planning/"/>
    </mc:Choice>
  </mc:AlternateContent>
  <xr:revisionPtr revIDLastSave="74" documentId="8_{23B39DB7-5D74-462A-8072-C7E415F34261}" xr6:coauthVersionLast="47" xr6:coauthVersionMax="47" xr10:uidLastSave="{44B43A94-1E6F-48C3-96C6-EB1F18D57B9A}"/>
  <bookViews>
    <workbookView xWindow="-120" yWindow="-120" windowWidth="29040" windowHeight="15840" tabRatio="723" xr2:uid="{00000000-000D-0000-FFFF-FFFF00000000}"/>
  </bookViews>
  <sheets>
    <sheet name="Guidance" sheetId="17" r:id="rId1"/>
    <sheet name="Assessment Details" sheetId="23" r:id="rId2"/>
    <sheet name="Opportunity Assessment" sheetId="22" r:id="rId3"/>
    <sheet name="Dashboard" sheetId="24" r:id="rId4"/>
    <sheet name="Likelihood" sheetId="29" r:id="rId5"/>
    <sheet name="Impact" sheetId="21" r:id="rId6"/>
    <sheet name="Opps By Level" sheetId="28" state="hidden" r:id="rId7"/>
    <sheet name="Opps By Level &amp; Type" sheetId="26" state="hidden" r:id="rId8"/>
    <sheet name="Opp Levels By Opp Owner" sheetId="25" state="hidden" r:id="rId9"/>
    <sheet name="Opp Action Owner" sheetId="27" state="hidden" r:id="rId10"/>
  </sheets>
  <definedNames>
    <definedName name="NoRisksPre">#REF!</definedName>
    <definedName name="_xlnm.Print_Titles" localSheetId="2">'Opportunity Assessment'!$14:$14</definedName>
    <definedName name="Slicer_ACTION_OWNER">#N/A</definedName>
    <definedName name="Slicer_OPP_OWNER">#N/A</definedName>
    <definedName name="Slicer_OPP_TYPE">#N/A</definedName>
    <definedName name="Slicer_OPPORTUNITY_LEVEL">#N/A</definedName>
  </definedNames>
  <calcPr calcId="191029"/>
  <pivotCaches>
    <pivotCache cacheId="22"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5" i="22" l="1"/>
  <c r="L25" i="22" s="1"/>
  <c r="K24" i="22"/>
  <c r="L24" i="22" s="1"/>
  <c r="K23" i="22"/>
  <c r="K22" i="22"/>
  <c r="K21" i="22"/>
  <c r="L21" i="22" s="1"/>
  <c r="K20" i="22"/>
  <c r="L20" i="22" s="1"/>
  <c r="K19" i="22"/>
  <c r="L19" i="22" s="1"/>
  <c r="K18" i="22"/>
  <c r="L18" i="22" s="1"/>
  <c r="K16" i="22"/>
  <c r="L16" i="22" s="1"/>
  <c r="K15" i="22"/>
  <c r="L15" i="22" s="1"/>
  <c r="L22" i="22"/>
  <c r="K34" i="22"/>
  <c r="L34" i="22" s="1"/>
  <c r="K33" i="22"/>
  <c r="L33" i="22" s="1"/>
  <c r="K32" i="22"/>
  <c r="L32" i="22" s="1"/>
  <c r="K31" i="22"/>
  <c r="L31" i="22" s="1"/>
  <c r="K30" i="22"/>
  <c r="L30" i="22" s="1"/>
  <c r="K29" i="22"/>
  <c r="L29" i="22" s="1"/>
  <c r="K28" i="22"/>
  <c r="L28" i="22" s="1"/>
  <c r="K27" i="22"/>
  <c r="L27" i="22" s="1"/>
  <c r="K26" i="22"/>
  <c r="L26" i="22" s="1"/>
  <c r="L23" i="22"/>
  <c r="K17" i="22"/>
  <c r="L17"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Andie Darlington</author>
  </authors>
  <commentList>
    <comment ref="B14" authorId="0" shapeId="0" xr:uid="{A0B4591A-2535-45E5-A10A-F8553CFC4995}">
      <text>
        <r>
          <rPr>
            <b/>
            <sz val="9"/>
            <color indexed="81"/>
            <rFont val="Tahoma"/>
            <family val="2"/>
          </rPr>
          <t>Number of risk: 1, 2, 3, etc.</t>
        </r>
      </text>
    </comment>
    <comment ref="C14" authorId="1" shapeId="0" xr:uid="{10327289-E4BE-4C9E-BB3C-764523900728}">
      <text>
        <r>
          <rPr>
            <b/>
            <sz val="9"/>
            <color indexed="81"/>
            <rFont val="Tahoma"/>
            <family val="2"/>
          </rPr>
          <t>A brief description of the opportunity involved.</t>
        </r>
      </text>
    </comment>
    <comment ref="D14" authorId="1" shapeId="0" xr:uid="{BB463036-48D6-4C22-B5A8-864E12E7D48B}">
      <text>
        <r>
          <rPr>
            <b/>
            <sz val="9"/>
            <color indexed="81"/>
            <rFont val="Tahoma"/>
            <family val="2"/>
          </rPr>
          <t>A more detailed description of the opportunity involved.</t>
        </r>
      </text>
    </comment>
    <comment ref="E14" authorId="1" shapeId="0" xr:uid="{972C228A-7055-4D01-BE60-8FB555A4AAE2}">
      <text>
        <r>
          <rPr>
            <b/>
            <sz val="9"/>
            <color indexed="81"/>
            <rFont val="Tahoma"/>
            <family val="2"/>
          </rPr>
          <t>Type of opportunity, based on areas of the organisation, such as Financial, Marketing or Information technology.</t>
        </r>
      </text>
    </comment>
    <comment ref="F14" authorId="1" shapeId="0" xr:uid="{56B7E199-6433-4F72-BE7D-EA1C3115EF20}">
      <text>
        <r>
          <rPr>
            <b/>
            <sz val="9"/>
            <color indexed="81"/>
            <rFont val="Tahoma"/>
            <family val="2"/>
          </rPr>
          <t>The person to whom the opportunity is assigned.</t>
        </r>
      </text>
    </comment>
    <comment ref="G14" authorId="1" shapeId="0" xr:uid="{D3932F17-53B2-49FE-A642-770804043CA7}">
      <text>
        <r>
          <rPr>
            <b/>
            <sz val="9"/>
            <color indexed="81"/>
            <rFont val="Tahoma"/>
            <family val="2"/>
          </rPr>
          <t>How likely is it that the opportunity will present itself?</t>
        </r>
      </text>
    </comment>
    <comment ref="H14" authorId="1" shapeId="0" xr:uid="{CE9C567B-A8F6-4BEA-B124-CBA7A5C06D1B}">
      <text>
        <r>
          <rPr>
            <b/>
            <sz val="9"/>
            <color indexed="81"/>
            <rFont val="Tahoma"/>
            <family val="2"/>
          </rPr>
          <t>Explain why you have given the Likelihood score that you have. This will help others to understand your reasoning.</t>
        </r>
      </text>
    </comment>
    <comment ref="I14" authorId="1" shapeId="0" xr:uid="{4AD80491-4A0C-456F-A82E-5689BF91226A}">
      <text>
        <r>
          <rPr>
            <b/>
            <sz val="9"/>
            <color indexed="81"/>
            <rFont val="Tahoma"/>
            <family val="2"/>
          </rPr>
          <t>What level of impact will there be if the opportunity were to arise? See Opportunity Impact tab on this spreadsheet for more details.</t>
        </r>
      </text>
    </comment>
    <comment ref="J14" authorId="1" shapeId="0" xr:uid="{35B06A50-C305-439B-8E8B-C6DC0C671220}">
      <text>
        <r>
          <rPr>
            <b/>
            <sz val="9"/>
            <color indexed="81"/>
            <rFont val="Tahoma"/>
            <family val="2"/>
          </rPr>
          <t>Explain why you have given the Impact score that you have. This will help others to understand your reasoning.</t>
        </r>
        <r>
          <rPr>
            <sz val="9"/>
            <color indexed="81"/>
            <rFont val="Tahoma"/>
            <family val="2"/>
          </rPr>
          <t xml:space="preserve">
</t>
        </r>
      </text>
    </comment>
    <comment ref="K14" authorId="1" shapeId="0" xr:uid="{140D72FE-4AEA-4D61-B97E-1DE3E8292374}">
      <text>
        <r>
          <rPr>
            <b/>
            <sz val="9"/>
            <color indexed="81"/>
            <rFont val="Tahoma"/>
            <family val="2"/>
          </rPr>
          <t>The Opportunity Score is calculated automatically by multiplying the Likelihood rating by the  Impact rating.</t>
        </r>
      </text>
    </comment>
    <comment ref="L14" authorId="1" shapeId="0" xr:uid="{45562F04-9FF3-4652-A8E7-567CCA5E494C}">
      <text>
        <r>
          <rPr>
            <b/>
            <sz val="9"/>
            <color indexed="81"/>
            <rFont val="Tahoma"/>
            <family val="2"/>
          </rPr>
          <t>The Opportunity Level is assigned automatically based on the Opportunity Score and the Opportunity Classification table shown on the Classification tab.</t>
        </r>
      </text>
    </comment>
    <comment ref="M14" authorId="1" shapeId="0" xr:uid="{AC83F20C-FE55-4F7E-8BE1-7454286CB233}">
      <text>
        <r>
          <rPr>
            <b/>
            <sz val="9"/>
            <color indexed="81"/>
            <rFont val="Tahoma"/>
            <family val="2"/>
          </rPr>
          <t>Describe the action(s) to be taken.</t>
        </r>
      </text>
    </comment>
    <comment ref="N14" authorId="1" shapeId="0" xr:uid="{B56BE1B1-0333-4655-A25C-475A18B90ADD}">
      <text>
        <r>
          <rPr>
            <b/>
            <sz val="9"/>
            <color indexed="81"/>
            <rFont val="Tahoma"/>
            <family val="2"/>
          </rPr>
          <t>Name/title of the person responsible for taking the action.</t>
        </r>
      </text>
    </comment>
    <comment ref="O14" authorId="1" shapeId="0" xr:uid="{721E1F8A-69CB-43D4-8D95-345D842C94B2}">
      <text>
        <r>
          <rPr>
            <b/>
            <sz val="9"/>
            <color indexed="81"/>
            <rFont val="Tahoma"/>
            <family val="2"/>
          </rPr>
          <t>Any other notes.</t>
        </r>
      </text>
    </comment>
  </commentList>
</comments>
</file>

<file path=xl/sharedStrings.xml><?xml version="1.0" encoding="utf-8"?>
<sst xmlns="http://schemas.openxmlformats.org/spreadsheetml/2006/main" count="208" uniqueCount="135">
  <si>
    <t>Select…</t>
  </si>
  <si>
    <t>[Short, descriptive title]</t>
  </si>
  <si>
    <t>[Start at Version 1]</t>
  </si>
  <si>
    <t>[Name and title of approver]</t>
  </si>
  <si>
    <t xml:space="preserve"> REF</t>
  </si>
  <si>
    <t xml:space="preserve">Version
</t>
  </si>
  <si>
    <t xml:space="preserve">Dated
</t>
  </si>
  <si>
    <t xml:space="preserve">Approval
</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</si>
  <si>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</si>
  <si>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</si>
  <si>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</si>
  <si>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</si>
  <si>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</si>
  <si>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should be used to perform an opportunity assessment, including assessing the expected effects of treatments.</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</si>
  <si>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The ISO27001 standard requires that opportunities are considered as well as risks. Opportunities are effectively "good risks" which, if they happen, are likely to have a positive effect on the ISMS. Examples of opportunities could include an increase in funding for information security, legislation that mandates suppliers to improve their information security controls or an improvement in technology that makes specific controls more effective (e.g. better anti-malware, intrusion prevention or event management).</t>
    </r>
  </si>
  <si>
    <t>Assessment Details</t>
  </si>
  <si>
    <t xml:space="preserve">Security classification
</t>
  </si>
  <si>
    <t>[Insert Classification]</t>
  </si>
  <si>
    <t xml:space="preserve">Assessment title
</t>
  </si>
  <si>
    <t xml:space="preserve">Assessment scope
</t>
  </si>
  <si>
    <t>[Describe the scope of the assessment e.g. location, process, assets]</t>
  </si>
  <si>
    <t xml:space="preserve">Context of assessment
</t>
  </si>
  <si>
    <t>[Describe the general environment in which the assessment is carried out and internal and external factors affecting it]</t>
  </si>
  <si>
    <t xml:space="preserve">[Date the assessment was carried out]
</t>
  </si>
  <si>
    <t xml:space="preserve">Assessors
</t>
  </si>
  <si>
    <t>[Name and title of person(s) carrying out the assessment]</t>
  </si>
  <si>
    <t>Assessment participants</t>
  </si>
  <si>
    <t>[Names and titles of people contributing to the assessment]</t>
  </si>
  <si>
    <t xml:space="preserve">Date approved
</t>
  </si>
  <si>
    <t>[Date the assessment was approved]</t>
  </si>
  <si>
    <t>OPPORTUNITY SUMMARY</t>
  </si>
  <si>
    <t>OPP TYPE</t>
  </si>
  <si>
    <t>OPP OWNER</t>
  </si>
  <si>
    <t>LIKELIHOOD</t>
  </si>
  <si>
    <t>LIKELIHOOD RATIONALE</t>
  </si>
  <si>
    <t>IMPACT</t>
  </si>
  <si>
    <t>IMPACT RATIONALE</t>
  </si>
  <si>
    <t>OPPORTUNITY SCORE</t>
  </si>
  <si>
    <t>OPPORTUNITY LEVEL</t>
  </si>
  <si>
    <t>ACTION</t>
  </si>
  <si>
    <t>ACTION OWNER</t>
  </si>
  <si>
    <t>COMMENTS</t>
  </si>
  <si>
    <t>Opportunity assessment and action planning tool</t>
  </si>
  <si>
    <t>This is an assessment of the opportunities that may occur and what could be done to capitalize on them.</t>
  </si>
  <si>
    <t>Opportunities are uncertainties that are likely to have a positive effect (unlike risks, which are likely to have a negative effect).</t>
  </si>
  <si>
    <t>Impact</t>
  </si>
  <si>
    <t>GENERAL DESCRIPTION</t>
  </si>
  <si>
    <t>IMPACT RATING</t>
  </si>
  <si>
    <t>EFFECT ON CUSTOMERS</t>
  </si>
  <si>
    <t>FINANCIAL BENEFIT TO ORGANIZATION</t>
  </si>
  <si>
    <t>EFFECT ON EMPLOYEES</t>
  </si>
  <si>
    <t>POSITIVE IMPACT ON REPUTATION</t>
  </si>
  <si>
    <t>The following table should be used as guidance to help to decide upon the correct impact rating for a particular opportunity.</t>
  </si>
  <si>
    <t xml:space="preserve"> IMPACT LEVEL</t>
  </si>
  <si>
    <t>Negligible</t>
  </si>
  <si>
    <t>Slight</t>
  </si>
  <si>
    <t>Moderate</t>
  </si>
  <si>
    <t>High</t>
  </si>
  <si>
    <t>Very High</t>
  </si>
  <si>
    <t>No effect</t>
  </si>
  <si>
    <t>Very little or none</t>
  </si>
  <si>
    <t>Very small benefit</t>
  </si>
  <si>
    <t>Some local improvement to normal business operations</t>
  </si>
  <si>
    <t>Some local financial benefit</t>
  </si>
  <si>
    <t>Some benefit to small numbers</t>
  </si>
  <si>
    <t>Product/service delivery is boosted across the board</t>
  </si>
  <si>
    <t>Noticeable improvement in revenue and/or profit</t>
  </si>
  <si>
    <t>Some benefit to all employees</t>
  </si>
  <si>
    <t xml:space="preserve">Business delivery is significantly enhanced </t>
  </si>
  <si>
    <t>Major effect on income and/or profit</t>
  </si>
  <si>
    <t>Significant benefit to all employees</t>
  </si>
  <si>
    <t>Business is transformed with very large benefit to customers</t>
  </si>
  <si>
    <t xml:space="preserve">Transformational to business financial performance </t>
  </si>
  <si>
    <t>Huge positive impact on all employees</t>
  </si>
  <si>
    <t>OTHER CRITERIA</t>
  </si>
  <si>
    <t>[Specify impact]</t>
  </si>
  <si>
    <t xml:space="preserve"> IMPACT AREAS</t>
  </si>
  <si>
    <t>The chart below shows the rating scheme used to determine opportunity level based on a combination of likelihood and impact.</t>
  </si>
  <si>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The following areas of the ISO/IEC 27001 standard are addressed:
6.1 Actions to address risks and opportunities
6.1.1 General</t>
    </r>
  </si>
  <si>
    <t>To refresh chart data on the opportunity dashboard, click on “Refresh All” on the Data ribbon.</t>
  </si>
  <si>
    <t>ALMOST
CERTAIN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</si>
  <si>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</si>
  <si>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</si>
  <si>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</si>
  <si>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</si>
  <si>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</si>
  <si>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</si>
  <si>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</si>
  <si>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</si>
  <si>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</si>
  <si>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</si>
  <si>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</si>
  <si>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</si>
  <si>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</si>
  <si>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</si>
  <si>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</si>
  <si>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</si>
  <si>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</si>
  <si>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</si>
  <si>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Opportunity assessment</t>
  </si>
  <si>
    <t>Opportunity levels by opportunity owner</t>
  </si>
  <si>
    <t>Opportunities by level and type</t>
  </si>
  <si>
    <t>Opportunity action owner</t>
  </si>
  <si>
    <t>Classification of opportunity level</t>
  </si>
  <si>
    <t>LIKELIHOOD: What are the chances of the opportunity event happening?</t>
  </si>
  <si>
    <t>(blank)</t>
  </si>
  <si>
    <t>Calculated</t>
  </si>
  <si>
    <t>Count of OPPORTUNITY LEVEL</t>
  </si>
  <si>
    <t>Count of  REF</t>
  </si>
  <si>
    <t>To refresh chart data, click on “Refresh All” on the Data ribbon.</t>
  </si>
  <si>
    <t>Opportunities by level</t>
  </si>
  <si>
    <t xml:space="preserve">OPPORTUNITY LEVEL </t>
  </si>
  <si>
    <t>NEGLIGIBLE
1</t>
  </si>
  <si>
    <t>SLIGHT
2</t>
  </si>
  <si>
    <t>HIGH
4</t>
  </si>
  <si>
    <t>VERY HIGH
5</t>
  </si>
  <si>
    <t>IMPACT: How significant could the impact be if the opportunity event happened?</t>
  </si>
  <si>
    <t>OPPORTUNITY DESCRIPTION</t>
  </si>
  <si>
    <t>OPPORTUNITY TYPE</t>
  </si>
  <si>
    <t>OPPORTUNITY OWNER</t>
  </si>
  <si>
    <t>Likelihood</t>
  </si>
  <si>
    <t>DESCRIPTION</t>
  </si>
  <si>
    <t>SUMMARY</t>
  </si>
  <si>
    <t>Has never happened before and there is no reason to think it is any more likely now</t>
  </si>
  <si>
    <t>Unlikely</t>
  </si>
  <si>
    <t>There is a possibility that it could happen, but it probably won't</t>
  </si>
  <si>
    <t>Likely</t>
  </si>
  <si>
    <t>Almost certain</t>
  </si>
  <si>
    <t>Either already happens regularly or there is some reason to believe it is virtually imminent</t>
  </si>
  <si>
    <t>This table should be used to decide upon the most appropriate likelihood for a particular opportunity.</t>
  </si>
  <si>
    <t xml:space="preserve">On balance, the opportunity is more likely to happen than not
</t>
  </si>
  <si>
    <t>It would be a surprise if the opportunity did not occur either based on past frequency or current circumstances</t>
  </si>
  <si>
    <t>Rare</t>
  </si>
  <si>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ISO/IEC 27001 Toolkit Version 12</t>
    </r>
  </si>
  <si>
    <t>ISO27001 Opportunity assessment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</si>
</sst>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b/>
      <sz val="15"/>
      <color theme="3"/>
      <name val="Calibri"/>
      <family val="2"/>
      <scheme val="minor"/>
    </font>
    <font>
      <b/>
      <sz val="13"/>
      <color theme="3"/>
      <name val="Calibri"/>
      <family val="2"/>
      <scheme val="minor"/>
    </font>
    <font>
      <b/>
      <sz val="11"/>
      <color rgb="FFFFFFFF"/>
      <name val="Calibri"/>
      <family val="2"/>
      <scheme val="minor"/>
    </font>
    <font>
      <sz val="11"/>
      <color rgb="FF444444"/>
      <name val="Calibri"/>
      <family val="2"/>
      <scheme val="minor"/>
    </font>
    <font>
      <i/>
      <sz val="11"/>
      <color rgb="FF444444"/>
      <name val="Calibri"/>
      <family val="2"/>
      <scheme val="minor"/>
    </font>
    <font>
      <b/>
      <sz val="11"/>
      <color theme="1"/>
      <name val="Calibri"/>
      <family val="2"/>
      <scheme val="minor"/>
    </font>
    <font>
      <b/>
      <sz val="16"/>
      <color theme="1"/>
      <name val="Calibri"/>
      <family val="2"/>
      <scheme val="minor"/>
    </font>
    <font>
      <b/>
      <sz val="18"/>
      <color theme="2" tint="-0.499984740745262"/>
      <name val="Calibri"/>
      <family val="2"/>
      <scheme val="minor"/>
    </font>
    <font>
      <b/>
      <sz val="16"/>
      <color theme="2" tint="-0.499984740745262"/>
      <name val="Calibri"/>
      <family val="2"/>
      <scheme val="minor"/>
    </font>
    <font>
      <sz val="11"/>
      <color theme="0"/>
      <name val="Calibri"/>
      <family val="2"/>
      <scheme val="minor"/>
    </font>
    <font>
      <sz val="8"/>
      <name val="Calibri"/>
      <family val="2"/>
      <scheme val="minor"/>
    </font>
    <font>
      <b/>
      <sz val="14"/>
      <color theme="0"/>
      <name val="Calibri"/>
      <family val="2"/>
      <scheme val="minor"/>
    </font>
    <font>
      <b/>
      <u/>
      <sz val="9"/>
      <color rgb="FF444444"/>
      <name val="Calibri"/>
      <family val="2"/>
      <scheme val="minor"/>
    </font>
    <font>
      <sz val="9"/>
      <color rgb="FF444444"/>
      <name val="Calibri"/>
      <family val="2"/>
      <scheme val="minor"/>
    </font>
    <font>
      <b/>
      <sz val="9"/>
      <color theme="1"/>
      <name val="Calibri"/>
      <family val="2"/>
      <scheme val="minor"/>
    </font>
    <font>
      <b/>
      <sz val="9"/>
      <color rgb="FF444444"/>
      <name val="Calibri"/>
      <family val="2"/>
      <scheme val="minor"/>
    </font>
    <font>
      <b/>
      <sz val="9"/>
      <color theme="0"/>
      <name val="Calibri"/>
      <family val="2"/>
      <scheme val="minor"/>
    </font>
    <font>
      <b/>
      <sz val="14"/>
      <color theme="1"/>
      <name val="Calibri"/>
      <family val="2"/>
      <scheme val="minor"/>
    </font>
    <font>
      <sz val="12"/>
      <color theme="1"/>
      <name val="Calibri"/>
      <family val="2"/>
      <scheme val="minor"/>
    </font>
    <font>
      <b/>
      <sz val="9"/>
      <color indexed="81"/>
      <name val="Tahoma"/>
      <family val="2"/>
    </font>
    <font>
      <sz val="9"/>
      <color indexed="81"/>
      <name val="Tahoma"/>
      <family val="2"/>
    </font>
    <font>
      <sz val="9"/>
      <color theme="1"/>
      <name val="Calibri"/>
      <family val="2"/>
      <scheme val="minor"/>
    </font>
    <font>
      <b/>
      <sz val="11"/>
      <color theme="0"/>
      <name val="Calibri"/>
      <family val="2"/>
      <scheme val="minor"/>
    </font>
  </fonts>
  <fills count="10">
    <fill>
      <patternFill patternType="none"/>
    </fill>
    <fill>
      <patternFill patternType="gray125"/>
    </fill>
    <fill>
      <patternFill patternType="solid">
        <fgColor theme="2" tint="-0.749992370372631"/>
        <bgColor indexed="64"/>
      </patternFill>
    </fill>
    <fill>
      <patternFill patternType="solid">
        <fgColor theme="2"/>
        <bgColor indexed="64"/>
      </patternFill>
    </fill>
    <fill>
      <patternFill patternType="solid">
        <fgColor rgb="FFFFFF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right/>
      <top/>
      <bottom style="thick">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right/>
      <top/>
      <bottom style="thick">
        <color theme="0"/>
      </bottom>
      <diagonal/>
    </border>
    <border>
      <left style="thick">
        <color theme="0"/>
      </left>
      <right style="thick">
        <color theme="0"/>
      </right>
      <top style="thick">
        <color theme="0"/>
      </top>
      <bottom style="thick">
        <color theme="0"/>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51">
    <xf numFmtId="0" fontId="0" fillId="0" borderId="0" xfId="0"/>
    <xf numFmtId="0" fontId="0" fillId="0" borderId="0" xfId="0" applyAlignment="1">
      <alignment vertical="top"/>
    </xf>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right" vertical="top"/>
    </xf>
    <xf numFmtId="0" fontId="5" fillId="0" borderId="0" xfId="0" applyFont="1" applyAlignment="1">
      <alignment vertical="top"/>
    </xf>
    <xf numFmtId="0" fontId="7" fillId="0" borderId="0" xfId="0" applyFont="1" applyAlignment="1">
      <alignment vertical="top"/>
    </xf>
    <xf numFmtId="0" fontId="0" fillId="0" borderId="0" xfId="0" applyAlignment="1">
      <alignment horizontal="left" vertical="top" wrapText="1"/>
    </xf>
    <xf numFmtId="0" fontId="3" fillId="2" borderId="3" xfId="0" applyFont="1" applyFill="1" applyBorder="1" applyAlignment="1">
      <alignment horizontal="left" vertical="center"/>
    </xf>
    <xf numFmtId="0" fontId="3" fillId="2" borderId="0" xfId="0" applyFont="1" applyFill="1" applyAlignment="1">
      <alignment horizontal="left" vertical="center"/>
    </xf>
    <xf numFmtId="0" fontId="6" fillId="3" borderId="5" xfId="0" applyFont="1" applyFill="1" applyBorder="1" applyAlignment="1">
      <alignment vertical="top" wrapText="1"/>
    </xf>
    <xf numFmtId="0" fontId="4" fillId="0" borderId="0" xfId="0" applyFont="1" applyAlignment="1">
      <alignment horizontal="left" vertical="top"/>
    </xf>
    <xf numFmtId="0" fontId="4" fillId="0" borderId="4" xfId="0" applyFont="1" applyBorder="1" applyAlignment="1">
      <alignment vertical="top"/>
    </xf>
    <xf numFmtId="0" fontId="0" fillId="0" borderId="5" xfId="0" applyBorder="1" applyAlignment="1">
      <alignment vertical="top" wrapText="1"/>
    </xf>
    <xf numFmtId="0" fontId="4" fillId="0" borderId="6" xfId="0" applyFont="1" applyBorder="1" applyAlignment="1">
      <alignment vertical="top" wrapText="1"/>
    </xf>
    <xf numFmtId="0" fontId="4" fillId="0" borderId="5" xfId="0" applyFont="1" applyBorder="1" applyAlignment="1">
      <alignment vertical="top" wrapText="1"/>
    </xf>
    <xf numFmtId="0" fontId="4" fillId="0" borderId="7" xfId="0" applyFont="1" applyBorder="1" applyAlignment="1">
      <alignment vertical="top" wrapText="1"/>
    </xf>
    <xf numFmtId="0" fontId="0" fillId="0" borderId="0" xfId="0" applyAlignment="1">
      <alignment horizontal="left" vertical="top"/>
    </xf>
    <xf numFmtId="0" fontId="0" fillId="0" borderId="0" xfId="0" applyAlignment="1">
      <alignment horizontal="center" vertical="top" wrapText="1"/>
    </xf>
    <xf numFmtId="0" fontId="10" fillId="0" borderId="0" xfId="0" applyFont="1" applyAlignment="1">
      <alignment vertical="top" wrapText="1"/>
    </xf>
    <xf numFmtId="0" fontId="4" fillId="4" borderId="0" xfId="0" applyFont="1" applyFill="1" applyAlignment="1">
      <alignment vertical="top" wrapText="1"/>
    </xf>
    <xf numFmtId="0" fontId="4" fillId="0" borderId="0" xfId="0" applyFont="1" applyAlignment="1">
      <alignment horizontal="center" vertical="top" wrapText="1"/>
    </xf>
    <xf numFmtId="0" fontId="6" fillId="0" borderId="0" xfId="0" applyFont="1"/>
    <xf numFmtId="0" fontId="10" fillId="5" borderId="0" xfId="0" applyFont="1" applyFill="1"/>
    <xf numFmtId="0" fontId="0" fillId="5" borderId="0" xfId="0" applyFill="1"/>
    <xf numFmtId="0" fontId="7" fillId="0" borderId="0" xfId="0" applyFont="1"/>
    <xf numFmtId="0" fontId="12" fillId="5" borderId="0" xfId="0" applyFont="1" applyFill="1"/>
    <xf numFmtId="0" fontId="12" fillId="5" borderId="0" xfId="0" applyFont="1" applyFill="1" applyAlignment="1">
      <alignment vertical="top"/>
    </xf>
    <xf numFmtId="0" fontId="10" fillId="0" borderId="0" xfId="0" applyFont="1"/>
    <xf numFmtId="0" fontId="12" fillId="0" borderId="0" xfId="0" applyFont="1" applyAlignment="1">
      <alignment vertical="top"/>
    </xf>
    <xf numFmtId="0" fontId="13" fillId="0" borderId="0" xfId="0" applyFont="1" applyAlignment="1">
      <alignment horizontal="left" vertical="center"/>
    </xf>
    <xf numFmtId="0" fontId="0" fillId="0" borderId="0" xfId="0" quotePrefix="1"/>
    <xf numFmtId="0" fontId="14" fillId="6" borderId="9" xfId="0" applyFont="1" applyFill="1" applyBorder="1" applyAlignment="1">
      <alignment horizontal="left" vertical="top" indent="1"/>
    </xf>
    <xf numFmtId="0" fontId="15" fillId="6" borderId="9" xfId="0" applyFont="1" applyFill="1" applyBorder="1" applyAlignment="1">
      <alignment horizontal="left" vertical="center" wrapText="1" indent="1"/>
    </xf>
    <xf numFmtId="0" fontId="16" fillId="7" borderId="9" xfId="0" applyFont="1" applyFill="1" applyBorder="1" applyAlignment="1">
      <alignment horizontal="left" vertical="center" wrapText="1" indent="1"/>
    </xf>
    <xf numFmtId="0" fontId="17" fillId="8" borderId="9" xfId="0" applyFont="1" applyFill="1" applyBorder="1" applyAlignment="1">
      <alignment horizontal="left" vertical="center" wrapText="1" indent="1"/>
    </xf>
    <xf numFmtId="0" fontId="16" fillId="9" borderId="9" xfId="0" applyFont="1" applyFill="1" applyBorder="1" applyAlignment="1">
      <alignment horizontal="left" vertical="center" wrapText="1" indent="1"/>
    </xf>
    <xf numFmtId="0" fontId="12" fillId="0" borderId="0" xfId="0" applyFont="1"/>
    <xf numFmtId="0" fontId="0" fillId="0" borderId="0" xfId="0" applyAlignment="1" applyProtection="1">
      <alignment horizontal="left" vertical="top" wrapText="1"/>
      <protection locked="0"/>
    </xf>
    <xf numFmtId="0" fontId="0" fillId="0" borderId="0" xfId="0" applyAlignment="1" applyProtection="1">
      <alignment vertical="top" wrapText="1"/>
      <protection locked="0"/>
    </xf>
    <xf numFmtId="0" fontId="0" fillId="0" borderId="0" xfId="0" applyAlignment="1" applyProtection="1">
      <alignment horizontal="center" vertical="top" wrapText="1"/>
      <protection locked="0"/>
    </xf>
    <xf numFmtId="0" fontId="18" fillId="0" borderId="0" xfId="0" applyFont="1" applyAlignment="1">
      <alignment vertical="top"/>
    </xf>
    <xf numFmtId="0" fontId="0" fillId="0" borderId="0" xfId="0" applyAlignment="1">
      <alignment horizontal="center" vertical="top"/>
    </xf>
    <xf numFmtId="0" fontId="10" fillId="5" borderId="0" xfId="0" applyFont="1" applyFill="1" applyAlignment="1">
      <alignment vertical="top"/>
    </xf>
    <xf numFmtId="0" fontId="19" fillId="0" borderId="0" xfId="0" applyFont="1" applyAlignment="1">
      <alignment vertical="top"/>
    </xf>
    <xf numFmtId="0" fontId="0" fillId="0" borderId="0" xfId="0" applyAlignment="1">
      <alignment vertical="top" wrapText="1"/>
    </xf>
    <xf numFmtId="0" fontId="23" fillId="5" borderId="0" xfId="0" applyFont="1" applyFill="1" applyAlignment="1">
      <alignment vertical="center" wrapText="1"/>
    </xf>
    <xf numFmtId="0" fontId="23" fillId="5" borderId="0" xfId="0" applyFont="1" applyFill="1" applyAlignment="1">
      <alignment vertical="center"/>
    </xf>
    <xf numFmtId="0" fontId="0" fillId="0" borderId="0" xfId="0" applyAlignment="1">
      <alignment vertical="top" wrapText="1"/>
    </xf>
    <xf numFmtId="0" fontId="22" fillId="0" borderId="0" xfId="0" applyFont="1" applyAlignment="1">
      <alignment horizontal="center" vertical="center" textRotation="90"/>
    </xf>
    <xf numFmtId="0" fontId="13" fillId="0" borderId="8" xfId="0" applyFont="1" applyBorder="1" applyAlignment="1">
      <alignment horizontal="center" vertical="center"/>
    </xf>
  </cellXfs>
  <cellStyles count="3">
    <cellStyle name="Heading 1" xfId="1" builtinId="16" customBuiltin="1"/>
    <cellStyle name="Heading 2" xfId="2" builtinId="17" customBuiltin="1"/>
    <cellStyle name="Normal" xfId="0" builtinId="0"/>
  </cellStyles>
  <dxfs count="107">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font>
        <color theme="0"/>
      </font>
    </dxf>
    <dxf>
      <font>
        <color theme="0"/>
      </font>
    </dxf>
    <dxf>
      <fill>
        <patternFill patternType="solid">
          <bgColor theme="2" tint="-0.499984740745262"/>
        </patternFill>
      </fill>
    </dxf>
    <dxf>
      <fill>
        <patternFill patternType="solid">
          <bgColor theme="2" tint="-0.499984740745262"/>
        </patternFill>
      </fill>
    </dxf>
    <dxf>
      <alignment horizontal="center"/>
    </dxf>
    <dxf>
      <alignment vertical="top"/>
    </dxf>
    <dxf>
      <alignment vertical="top"/>
    </dxf>
    <dxf>
      <alignment vertical="top"/>
    </dxf>
    <dxf>
      <alignment vertical="top"/>
    </dxf>
    <dxf>
      <alignment vertical="top"/>
    </dxf>
    <dxf>
      <font>
        <b val="0"/>
        <i val="0"/>
        <strike val="0"/>
        <condense val="0"/>
        <extend val="0"/>
        <outline val="0"/>
        <shadow val="0"/>
        <u val="none"/>
        <vertAlign val="baseline"/>
        <sz val="11"/>
        <color rgb="FF444444"/>
        <name val="Calibri"/>
        <family val="2"/>
        <scheme val="minor"/>
      </font>
      <fill>
        <patternFill patternType="solid">
          <fgColor indexed="64"/>
          <bgColor rgb="FFFFFF00"/>
        </patternFill>
      </fill>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0"/>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1" indent="0" justifyLastLine="0" shrinkToFit="0" readingOrder="0"/>
    </dxf>
    <dxf>
      <border outline="0">
        <bottom style="thick">
          <color rgb="FF009BA4"/>
        </bottom>
      </border>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alignment horizontal="left" vertical="center" textRotation="0" wrapText="1" indent="0" justifyLastLine="0" shrinkToFit="0" readingOrder="0"/>
    </dxf>
    <dxf>
      <font>
        <b/>
        <i val="0"/>
        <color theme="0"/>
      </font>
      <fill>
        <patternFill>
          <bgColor rgb="FFFF0000"/>
        </patternFill>
      </fill>
    </dxf>
    <dxf>
      <font>
        <b/>
        <i val="0"/>
      </font>
      <fill>
        <patternFill>
          <bgColor rgb="FFFFC000"/>
        </patternFill>
      </fill>
    </dxf>
    <dxf>
      <font>
        <b/>
        <i val="0"/>
      </font>
      <fill>
        <patternFill>
          <bgColor rgb="FF00CC00"/>
        </patternFill>
      </fill>
    </dxf>
    <dxf>
      <font>
        <b/>
        <i val="0"/>
        <color theme="0"/>
      </font>
      <fill>
        <patternFill>
          <bgColor rgb="FFFF0000"/>
        </patternFill>
      </fill>
    </dxf>
    <dxf>
      <font>
        <b/>
        <i val="0"/>
      </font>
      <fill>
        <patternFill>
          <bgColor rgb="FFFFC000"/>
        </patternFill>
      </fill>
    </dxf>
    <dxf>
      <font>
        <b/>
        <i val="0"/>
      </font>
      <fill>
        <patternFill>
          <bgColor rgb="FF00CC00"/>
        </patternFill>
      </fill>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2" defaultTableStyle="CertiKit table style" defaultPivotStyle="PivotStyleLight16">
    <tableStyle name="CertiKit Slicer" pivot="0" table="0" count="10" xr9:uid="{FCC2AF85-7669-42AB-BE0F-8A70404C0D05}">
      <tableStyleElement type="wholeTable" dxfId="106"/>
      <tableStyleElement type="headerRow" dxfId="105"/>
    </tableStyle>
    <tableStyle name="CertiKit table style" pivot="0" count="3" xr9:uid="{C9D01002-7EEB-4392-906F-2D3907ED044F}">
      <tableStyleElement type="headerRow" dxfId="104"/>
      <tableStyleElement type="firstRowStripe" dxfId="103"/>
      <tableStyleElement type="secondRowStripe" dxfId="102"/>
    </tableStyle>
  </tableStyles>
  <colors>
    <mruColors>
      <color rgb="FFD0EAEB"/>
      <color rgb="FF009BA4"/>
      <color rgb="FF444444"/>
      <color rgb="FF006D73"/>
      <color rgb="FF005E63"/>
      <color rgb="FF004043"/>
      <color rgb="FFFFFFFF"/>
      <color rgb="FFDBDC2C"/>
      <color rgb="FFCCC900"/>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[ISMS-FORM-06-4 Opportunity Assessment Tool.xlsx]Opps By Level!OppsByLevel</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1"/>
                </a:solidFill>
              </a:rPr>
              <a:t>Opportunities by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rgbClr val="92D05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25400">
            <a:solidFill>
              <a:schemeClr val="lt1"/>
            </a:solidFill>
          </a:ln>
          <a:effectLst/>
          <a:sp3d contourW="25400">
            <a:contourClr>
              <a:schemeClr val="lt1"/>
            </a:contourClr>
          </a:sp3d>
        </c:spPr>
      </c:pivotFmt>
      <c:pivotFmt>
        <c:idx val="6"/>
        <c:spPr>
          <a:solidFill>
            <a:srgbClr val="FF0000"/>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rgbClr val="92D050"/>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rgbClr val="92D050"/>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w="25400">
            <a:solidFill>
              <a:schemeClr val="lt1"/>
            </a:solidFill>
          </a:ln>
          <a:effectLst/>
          <a:sp3d contourW="25400">
            <a:contourClr>
              <a:schemeClr val="lt1"/>
            </a:contourClr>
          </a:sp3d>
        </c:spPr>
      </c:pivotFmt>
      <c:pivotFmt>
        <c:idx val="16"/>
        <c:spPr>
          <a:solidFill>
            <a:srgbClr val="FF0000"/>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rgbClr val="92D050"/>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w="25400">
            <a:solidFill>
              <a:schemeClr val="lt1"/>
            </a:solidFill>
          </a:ln>
          <a:effectLst/>
          <a:sp3d contourW="25400">
            <a:contourClr>
              <a:schemeClr val="lt1"/>
            </a:contourClr>
          </a:sp3d>
        </c:spPr>
      </c:pivotFmt>
      <c:pivotFmt>
        <c:idx val="21"/>
        <c:spPr>
          <a:solidFill>
            <a:srgbClr val="FF0000"/>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rgbClr val="92D050"/>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w="25400">
            <a:solidFill>
              <a:schemeClr val="lt1"/>
            </a:solidFill>
          </a:ln>
          <a:effectLst/>
          <a:sp3d contourW="25400">
            <a:contourClr>
              <a:schemeClr val="lt1"/>
            </a:contourClr>
          </a:sp3d>
        </c:spPr>
      </c:pivotFmt>
      <c:pivotFmt>
        <c:idx val="26"/>
        <c:spPr>
          <a:solidFill>
            <a:srgbClr val="FF0000"/>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rgbClr val="92D050"/>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C000"/>
          </a:solidFill>
          <a:ln w="25400">
            <a:solidFill>
              <a:schemeClr val="lt1"/>
            </a:solidFill>
          </a:ln>
          <a:effectLst/>
          <a:sp3d contourW="25400">
            <a:contourClr>
              <a:schemeClr val="lt1"/>
            </a:contourClr>
          </a:sp3d>
        </c:spPr>
      </c:pivotFmt>
      <c:pivotFmt>
        <c:idx val="31"/>
        <c:spPr>
          <a:solidFill>
            <a:srgbClr val="FF0000"/>
          </a:solidFill>
          <a:ln w="25400">
            <a:solidFill>
              <a:schemeClr val="lt1"/>
            </a:solidFill>
          </a:ln>
          <a:effectLst/>
          <a:sp3d contourW="25400">
            <a:contourClr>
              <a:schemeClr val="lt1"/>
            </a:contourClr>
          </a:sp3d>
        </c:spPr>
      </c:pivotFmt>
      <c:pivotFmt>
        <c:idx val="32"/>
        <c:spPr>
          <a:solidFill>
            <a:schemeClr val="bg2"/>
          </a:solidFill>
          <a:ln w="25400">
            <a:solidFill>
              <a:schemeClr val="lt1"/>
            </a:solidFill>
          </a:ln>
          <a:effectLst/>
          <a:sp3d contourW="25400">
            <a:contourClr>
              <a:schemeClr val="lt1"/>
            </a:contourClr>
          </a:sp3d>
        </c:spPr>
      </c:pivotFmt>
      <c:pivotFmt>
        <c:idx val="33"/>
        <c:spPr>
          <a:solidFill>
            <a:srgbClr val="92D050"/>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277777777777776E-2"/>
          <c:y val="0.23697941371786357"/>
          <c:w val="0.83680555555555558"/>
          <c:h val="0.7062625304367075"/>
        </c:manualLayout>
      </c:layout>
      <c:pie3DChart>
        <c:varyColors val="1"/>
        <c:ser>
          <c:idx val="0"/>
          <c:order val="0"/>
          <c:tx>
            <c:strRef>
              <c:f>'Opps By Level'!$C$6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D74-4A0C-8B15-1CB8A65063B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D74-4A0C-8B15-1CB8A65063B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D74-4A0C-8B15-1CB8A65063B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D74-4A0C-8B15-1CB8A65063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'Opps By Level'!$B$7</c:f>
              <c:strCache>
                <c:ptCount val="1"/>
                <c:pt idx="0">
                  <c:v>Calculated</c:v>
                </c:pt>
              </c:strCache>
            </c:strRef>
          </c:cat>
          <c:val>
            <c:numRef>
              <c:f>'Opps By Level'!$C$7</c:f>
              <c:numCache>
                <c:formatCode>General</c:formatCode>
                <c:ptCount val="1"/>
                <c:pt idx="0">
                  <c:v>20</c:v>
                </c:pt>
              </c:numCache>
            </c:numRef>
          </c:val>
          <c:extLst>
            <c:ext xmlns:c16="http://schemas.microsoft.com/office/drawing/2014/chart" uri="{C3380CC4-5D6E-409C-BE32-E72D297353CC}">
              <c16:uniqueId val="{00000008-6D74-4A0C-8B15-1CB8A65063B7}"/>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[ISMS-FORM-06-4 Opportunity Assessment Tool.xlsx]Opps By Level &amp; Type!OppsByLevel&amp;Type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1"/>
                </a:solidFill>
              </a:rPr>
              <a:t>Opportunities by level and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sp3d/>
        </c:spPr>
      </c:pivotFmt>
      <c:pivotFmt>
        <c:idx val="7"/>
        <c:spPr>
          <a:solidFill>
            <a:schemeClr val="accent3"/>
          </a:solidFill>
          <a:ln>
            <a:noFill/>
          </a:ln>
          <a:effectLst/>
          <a:sp3d/>
        </c:spPr>
      </c:pivotFmt>
      <c:pivotFmt>
        <c:idx val="8"/>
        <c:spPr>
          <a:solidFill>
            <a:schemeClr val="accent4"/>
          </a:solidFill>
          <a:ln>
            <a:noFill/>
          </a:ln>
          <a:effectLst/>
          <a:sp3d/>
        </c:spPr>
      </c:pivotFmt>
      <c:pivotFmt>
        <c:idx val="9"/>
        <c:spPr>
          <a:solidFill>
            <a:schemeClr val="accent5"/>
          </a:solidFill>
          <a:ln>
            <a:noFill/>
          </a:ln>
          <a:effectLst/>
          <a:sp3d/>
        </c:spPr>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'Opps By Level &amp; Type'!$D$6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2138-48C2-8C08-E470A0E8F138}"/>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2138-48C2-8C08-E470A0E8F138}"/>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2138-48C2-8C08-E470A0E8F138}"/>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2138-48C2-8C08-E470A0E8F138}"/>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2138-48C2-8C08-E470A0E8F138}"/>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2138-48C2-8C08-E470A0E8F138}"/>
              </c:ext>
            </c:extLst>
          </c:dPt>
          <c:cat>
            <c:multiLvlStrRef>
              <c:f>'Opps By Level &amp; Type'!$B$7:$C$7</c:f>
              <c:multiLvlStrCache>
                <c:ptCount val="1"/>
                <c:lvl>
                  <c:pt idx="0">
                    <c:v>Calculated</c:v>
                  </c:pt>
                </c:lvl>
                <c:lvl>
                  <c:pt idx="0">
                    <c:v>(blank)</c:v>
                  </c:pt>
                </c:lvl>
              </c:multiLvlStrCache>
            </c:multiLvlStrRef>
          </c:cat>
          <c:val>
            <c:numRef>
              <c:f>'Opps By Level &amp; Type'!$D$7</c:f>
              <c:numCache>
                <c:formatCode>General</c:formatCode>
                <c:ptCount val="1"/>
                <c:pt idx="0">
                  <c:v>20</c:v>
                </c:pt>
              </c:numCache>
            </c:numRef>
          </c:val>
          <c:extLst>
            <c:ext xmlns:c16="http://schemas.microsoft.com/office/drawing/2014/chart" uri="{C3380CC4-5D6E-409C-BE32-E72D297353CC}">
              <c16:uniqueId val="{0000000C-2138-48C2-8C08-E470A0E8F138}"/>
            </c:ext>
          </c:extLst>
        </c:ser>
        <c:dLbls>
          <c:showLegendKey val="0"/>
          <c:showVal val="0"/>
          <c:showCatName val="0"/>
          <c:showSerName val="0"/>
          <c:showPercent val="0"/>
          <c:showBubbleSize val="0"/>
        </c:dLbls>
        <c:gapWidth val="150"/>
        <c:shape val="box"/>
        <c:axId val="1165145224"/>
        <c:axId val="1165143584"/>
        <c:axId val="0"/>
      </c:bar3DChart>
      <c:catAx>
        <c:axId val="1165145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143584"/>
        <c:crosses val="autoZero"/>
        <c:auto val="1"/>
        <c:lblAlgn val="ctr"/>
        <c:lblOffset val="100"/>
        <c:noMultiLvlLbl val="0"/>
      </c:catAx>
      <c:valAx>
        <c:axId val="1165143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5145224"/>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[ISMS-FORM-06-4 Opportunity Assessment Tool.xlsx]Opp Levels By Opp Owner!OppLevelsByOppOwner</c:name>
    <c:fmtId val="3"/>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GB">
                <a:solidFill>
                  <a:schemeClr val="tx1"/>
                </a:solidFill>
              </a:rPr>
              <a:t>Opportunity levels by opportunity owner</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 Levels By Opp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6C72-4F6C-A0E1-B235B7B25751}"/>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6C72-4F6C-A0E1-B235B7B25751}"/>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6C72-4F6C-A0E1-B235B7B25751}"/>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6C72-4F6C-A0E1-B235B7B25751}"/>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6C72-4F6C-A0E1-B235B7B25751}"/>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6C72-4F6C-A0E1-B235B7B25751}"/>
              </c:ext>
            </c:extLst>
          </c:dPt>
          <c:cat>
            <c:multiLvlStrRef>
              <c:f>'Opp Levels By Opp Owner'!$B$7:$C$7</c:f>
              <c:multiLvlStrCache>
                <c:ptCount val="1"/>
                <c:lvl>
                  <c:pt idx="0">
                    <c:v>Calculated</c:v>
                  </c:pt>
                </c:lvl>
                <c:lvl>
                  <c:pt idx="0">
                    <c:v>(blank)</c:v>
                  </c:pt>
                </c:lvl>
              </c:multiLvlStrCache>
            </c:multiLvlStrRef>
          </c:cat>
          <c:val>
            <c:numRef>
              <c:f>'Opp Levels By Opp Owner'!$D$7</c:f>
              <c:numCache>
                <c:formatCode>General</c:formatCode>
                <c:ptCount val="1"/>
                <c:pt idx="0">
                  <c:v>20</c:v>
                </c:pt>
              </c:numCache>
            </c:numRef>
          </c:val>
          <c:extLst>
            <c:ext xmlns:c16="http://schemas.microsoft.com/office/drawing/2014/chart" uri="{C3380CC4-5D6E-409C-BE32-E72D297353CC}">
              <c16:uniqueId val="{0000000C-6C72-4F6C-A0E1-B235B7B25751}"/>
            </c:ext>
          </c:extLst>
        </c:ser>
        <c:dLbls>
          <c:showLegendKey val="0"/>
          <c:showVal val="0"/>
          <c:showCatName val="0"/>
          <c:showSerName val="0"/>
          <c:showPercent val="0"/>
          <c:showBubbleSize val="0"/>
        </c:dLbls>
        <c:gapWidth val="150"/>
        <c:shape val="box"/>
        <c:axId val="1165165560"/>
        <c:axId val="1165169824"/>
        <c:axId val="0"/>
      </c:bar3DChart>
      <c:catAx>
        <c:axId val="1165165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165169824"/>
        <c:crosses val="autoZero"/>
        <c:auto val="1"/>
        <c:lblAlgn val="ctr"/>
        <c:lblOffset val="100"/>
        <c:noMultiLvlLbl val="0"/>
      </c:catAx>
      <c:valAx>
        <c:axId val="1165169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16516556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ln>
                  <a:noFill/>
                </a:ln>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[ISMS-FORM-06-4 Opportunity Assessment Tool.xlsx]Opp Action Owner!OppActionOwner</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1"/>
                </a:solidFill>
              </a:rPr>
              <a:t>Opportunity levels by action owner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 Action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55BA-4734-B275-BCEEE9E9B4B7}"/>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55BA-4734-B275-BCEEE9E9B4B7}"/>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55BA-4734-B275-BCEEE9E9B4B7}"/>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55BA-4734-B275-BCEEE9E9B4B7}"/>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55BA-4734-B275-BCEEE9E9B4B7}"/>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55BA-4734-B275-BCEEE9E9B4B7}"/>
              </c:ext>
            </c:extLst>
          </c:dPt>
          <c:cat>
            <c:multiLvlStrRef>
              <c:f>'Opp Action Owner'!$B$7:$C$7</c:f>
              <c:multiLvlStrCache>
                <c:ptCount val="1"/>
                <c:lvl>
                  <c:pt idx="0">
                    <c:v>Calculated</c:v>
                  </c:pt>
                </c:lvl>
                <c:lvl>
                  <c:pt idx="0">
                    <c:v>(blank)</c:v>
                  </c:pt>
                </c:lvl>
              </c:multiLvlStrCache>
            </c:multiLvlStrRef>
          </c:cat>
          <c:val>
            <c:numRef>
              <c:f>'Opp Action Owner'!$D$7</c:f>
              <c:numCache>
                <c:formatCode>General</c:formatCode>
                <c:ptCount val="1"/>
                <c:pt idx="0">
                  <c:v>20</c:v>
                </c:pt>
              </c:numCache>
            </c:numRef>
          </c:val>
          <c:extLst>
            <c:ext xmlns:c16="http://schemas.microsoft.com/office/drawing/2014/chart" uri="{C3380CC4-5D6E-409C-BE32-E72D297353CC}">
              <c16:uniqueId val="{00000000-AC16-4C98-8BB8-688181AC89FE}"/>
            </c:ext>
          </c:extLst>
        </c:ser>
        <c:dLbls>
          <c:showLegendKey val="0"/>
          <c:showVal val="0"/>
          <c:showCatName val="0"/>
          <c:showSerName val="0"/>
          <c:showPercent val="0"/>
          <c:showBubbleSize val="0"/>
        </c:dLbls>
        <c:gapWidth val="150"/>
        <c:shape val="box"/>
        <c:axId val="1145486456"/>
        <c:axId val="1145479568"/>
        <c:axId val="0"/>
      </c:bar3DChart>
      <c:catAx>
        <c:axId val="1145486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5479568"/>
        <c:crosses val="autoZero"/>
        <c:auto val="1"/>
        <c:lblAlgn val="ctr"/>
        <c:lblOffset val="100"/>
        <c:noMultiLvlLbl val="0"/>
      </c:catAx>
      <c:valAx>
        <c:axId val="1145479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548645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jpeg"/><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xdr:col>
      <xdr:colOff>2956159</xdr:colOff>
      <xdr:row>5</xdr:row>
      <xdr:rowOff>9525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twoCellAnchor editAs="absolute">
    <xdr:from>
      <xdr:col>1</xdr:col>
      <xdr:colOff>3781425</xdr:colOff>
      <xdr:row>0</xdr:row>
      <xdr:rowOff>76200</xdr:rowOff>
    </xdr:from>
    <xdr:to>
      <xdr:col>2</xdr:col>
      <xdr:colOff>95250</xdr:colOff>
      <xdr:row>5</xdr:row>
      <xdr:rowOff>19050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3971925" y="76200"/>
          <a:ext cx="2590800"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Opportunity Assessment</a:t>
          </a:r>
          <a:br>
            <a:rPr lang="en-GB" sz="1800" b="1">
              <a:solidFill>
                <a:schemeClr val="tx1"/>
              </a:solidFill>
            </a:rPr>
          </a:br>
          <a:r>
            <a:rPr lang="en-GB" sz="1800" b="1">
              <a:solidFill>
                <a:schemeClr val="tx1"/>
              </a:solidFill>
            </a:rPr>
            <a:t>and Action Planning Tool</a:t>
          </a:r>
          <a:br>
            <a:rPr lang="en-GB" sz="1800" b="1">
              <a:solidFill>
                <a:schemeClr val="tx1"/>
              </a:solidFill>
            </a:rPr>
          </a:br>
          <a:r>
            <a:rPr lang="en-GB" sz="1200" b="0">
              <a:solidFill>
                <a:schemeClr val="tx1"/>
              </a:solidFill>
              <a:latin typeface="+mn-lt"/>
            </a:rPr>
            <a:t>ISMS-FORM-06-4</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1060925</xdr:colOff>
      <xdr:row>6</xdr:row>
      <xdr:rowOff>5490</xdr:rowOff>
    </xdr:to>
    <xdr:pic>
      <xdr:nvPicPr>
        <xdr:cNvPr id="2" name="Picture 1" descr="Auto Replac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2</xdr:col>
      <xdr:colOff>3057525</xdr:colOff>
      <xdr:row>1</xdr:row>
      <xdr:rowOff>76200</xdr:rowOff>
    </xdr:from>
    <xdr:to>
      <xdr:col>3</xdr:col>
      <xdr:colOff>85725</xdr:colOff>
      <xdr:row>6</xdr:row>
      <xdr:rowOff>19050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714875" y="266700"/>
          <a:ext cx="2609850"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Opportunity Assessment</a:t>
          </a:r>
          <a:br>
            <a:rPr lang="en-GB" sz="1800" b="1">
              <a:solidFill>
                <a:schemeClr val="tx1"/>
              </a:solidFill>
            </a:rPr>
          </a:br>
          <a:r>
            <a:rPr lang="en-GB" sz="1800" b="1">
              <a:solidFill>
                <a:schemeClr val="tx1"/>
              </a:solidFill>
            </a:rPr>
            <a:t>and Action Planning Tool</a:t>
          </a:r>
          <a:br>
            <a:rPr lang="en-GB" sz="1800" b="1">
              <a:solidFill>
                <a:schemeClr val="tx1"/>
              </a:solidFill>
            </a:rPr>
          </a:br>
          <a:r>
            <a:rPr lang="en-GB" sz="1200" b="0">
              <a:solidFill>
                <a:schemeClr val="tx1"/>
              </a:solidFill>
              <a:latin typeface="+mn-lt"/>
            </a:rPr>
            <a:t>ISMS-FORM-06-4</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365600</xdr:colOff>
      <xdr:row>6</xdr:row>
      <xdr:rowOff>5490</xdr:rowOff>
    </xdr:to>
    <xdr:pic>
      <xdr:nvPicPr>
        <xdr:cNvPr id="6" name="Picture 5" descr="Auto Replac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9</xdr:col>
      <xdr:colOff>847725</xdr:colOff>
      <xdr:row>0</xdr:row>
      <xdr:rowOff>190499</xdr:rowOff>
    </xdr:from>
    <xdr:to>
      <xdr:col>11</xdr:col>
      <xdr:colOff>504825</xdr:colOff>
      <xdr:row>11</xdr:row>
      <xdr:rowOff>9524</xdr:rowOff>
    </xdr:to>
    <mc:AlternateContent xmlns:mc="http://schemas.openxmlformats.org/markup-compatibility/2006" xmlns:sle15="http://schemas.microsoft.com/office/drawing/2012/slicer">
      <mc:Choice Requires="sle15">
        <xdr:graphicFrame macro="">
          <xdr:nvGraphicFramePr>
            <xdr:cNvPr id="7" name="OPP TYPE">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OPP TYPE"/>
            </a:graphicData>
          </a:graphic>
        </xdr:graphicFrame>
      </mc:Choice>
      <mc:Fallback xmlns="">
        <xdr:sp macro="" textlink="">
          <xdr:nvSpPr>
            <xdr:cNvPr id="0" name=""/>
            <xdr:cNvSpPr>
              <a:spLocks noTextEdit="1"/>
            </xdr:cNvSpPr>
          </xdr:nvSpPr>
          <xdr:spPr>
            <a:xfrm>
              <a:off x="10458450" y="190499"/>
              <a:ext cx="1828800" cy="19907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504825</xdr:colOff>
      <xdr:row>0</xdr:row>
      <xdr:rowOff>180975</xdr:rowOff>
    </xdr:from>
    <xdr:to>
      <xdr:col>12</xdr:col>
      <xdr:colOff>1419225</xdr:colOff>
      <xdr:row>11</xdr:row>
      <xdr:rowOff>1</xdr:rowOff>
    </xdr:to>
    <mc:AlternateContent xmlns:mc="http://schemas.openxmlformats.org/markup-compatibility/2006" xmlns:sle15="http://schemas.microsoft.com/office/drawing/2012/slicer">
      <mc:Choice Requires="sle15">
        <xdr:graphicFrame macro="">
          <xdr:nvGraphicFramePr>
            <xdr:cNvPr id="8" name="OPP OWNER">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OPP OWNER"/>
            </a:graphicData>
          </a:graphic>
        </xdr:graphicFrame>
      </mc:Choice>
      <mc:Fallback xmlns="">
        <xdr:sp macro="" textlink="">
          <xdr:nvSpPr>
            <xdr:cNvPr id="0" name=""/>
            <xdr:cNvSpPr>
              <a:spLocks noTextEdit="1"/>
            </xdr:cNvSpPr>
          </xdr:nvSpPr>
          <xdr:spPr>
            <a:xfrm>
              <a:off x="12287250" y="180975"/>
              <a:ext cx="1828800" cy="199072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1419225</xdr:colOff>
      <xdr:row>0</xdr:row>
      <xdr:rowOff>190499</xdr:rowOff>
    </xdr:from>
    <xdr:to>
      <xdr:col>13</xdr:col>
      <xdr:colOff>1219200</xdr:colOff>
      <xdr:row>11</xdr:row>
      <xdr:rowOff>9524</xdr:rowOff>
    </xdr:to>
    <mc:AlternateContent xmlns:mc="http://schemas.openxmlformats.org/markup-compatibility/2006" xmlns:sle15="http://schemas.microsoft.com/office/drawing/2012/slicer">
      <mc:Choice Requires="sle15">
        <xdr:graphicFrame macro="">
          <xdr:nvGraphicFramePr>
            <xdr:cNvPr id="9" name="OPPORTUNITY LEVEL">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OPPORTUNITY LEVEL"/>
            </a:graphicData>
          </a:graphic>
        </xdr:graphicFrame>
      </mc:Choice>
      <mc:Fallback xmlns="">
        <xdr:sp macro="" textlink="">
          <xdr:nvSpPr>
            <xdr:cNvPr id="0" name=""/>
            <xdr:cNvSpPr>
              <a:spLocks noTextEdit="1"/>
            </xdr:cNvSpPr>
          </xdr:nvSpPr>
          <xdr:spPr>
            <a:xfrm>
              <a:off x="14116050" y="190499"/>
              <a:ext cx="1828800" cy="19907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1219200</xdr:colOff>
      <xdr:row>1</xdr:row>
      <xdr:rowOff>2</xdr:rowOff>
    </xdr:from>
    <xdr:to>
      <xdr:col>15</xdr:col>
      <xdr:colOff>9525</xdr:colOff>
      <xdr:row>11</xdr:row>
      <xdr:rowOff>836</xdr:rowOff>
    </xdr:to>
    <mc:AlternateContent xmlns:mc="http://schemas.openxmlformats.org/markup-compatibility/2006" xmlns:sle15="http://schemas.microsoft.com/office/drawing/2012/slicer">
      <mc:Choice Requires="sle15">
        <xdr:graphicFrame macro="">
          <xdr:nvGraphicFramePr>
            <xdr:cNvPr id="10" name="ACTION OWNER">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ACTION OWNER"/>
            </a:graphicData>
          </a:graphic>
        </xdr:graphicFrame>
      </mc:Choice>
      <mc:Fallback xmlns="">
        <xdr:sp macro="" textlink="">
          <xdr:nvSpPr>
            <xdr:cNvPr id="0" name=""/>
            <xdr:cNvSpPr>
              <a:spLocks noTextEdit="1"/>
            </xdr:cNvSpPr>
          </xdr:nvSpPr>
          <xdr:spPr>
            <a:xfrm>
              <a:off x="15944850" y="190502"/>
              <a:ext cx="1828800" cy="1982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4</xdr:col>
      <xdr:colOff>337586</xdr:colOff>
      <xdr:row>6</xdr:row>
      <xdr:rowOff>15015</xdr:rowOff>
    </xdr:to>
    <xdr:pic>
      <xdr:nvPicPr>
        <xdr:cNvPr id="2" name="Picture 1" descr="Auto Replace">
          <a:extLst>
            <a:ext uri="{FF2B5EF4-FFF2-40B4-BE49-F238E27FC236}">
              <a16:creationId xmlns:a16="http://schemas.microsoft.com/office/drawing/2014/main" id="{42FF2BC4-EA81-40D2-94F3-90B4E434927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00025"/>
          <a:ext cx="2537861" cy="957990"/>
        </a:xfrm>
        <a:prstGeom prst="rect">
          <a:avLst/>
        </a:prstGeom>
      </xdr:spPr>
    </xdr:pic>
    <xdr:clientData/>
  </xdr:twoCellAnchor>
  <xdr:twoCellAnchor>
    <xdr:from>
      <xdr:col>1</xdr:col>
      <xdr:colOff>0</xdr:colOff>
      <xdr:row>12</xdr:row>
      <xdr:rowOff>190499</xdr:rowOff>
    </xdr:from>
    <xdr:to>
      <xdr:col>7</xdr:col>
      <xdr:colOff>9525</xdr:colOff>
      <xdr:row>31</xdr:row>
      <xdr:rowOff>170999</xdr:rowOff>
    </xdr:to>
    <xdr:graphicFrame macro="">
      <xdr:nvGraphicFramePr>
        <xdr:cNvPr id="12" name="Chart 11">
          <a:extLst>
            <a:ext uri="{FF2B5EF4-FFF2-40B4-BE49-F238E27FC236}">
              <a16:creationId xmlns:a16="http://schemas.microsoft.com/office/drawing/2014/main" id="{2CBE7E2D-8271-41A6-B344-602E5BCD2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323850</xdr:colOff>
      <xdr:row>12</xdr:row>
      <xdr:rowOff>190499</xdr:rowOff>
    </xdr:from>
    <xdr:to>
      <xdr:col>23</xdr:col>
      <xdr:colOff>600075</xdr:colOff>
      <xdr:row>31</xdr:row>
      <xdr:rowOff>170999</xdr:rowOff>
    </xdr:to>
    <xdr:graphicFrame macro="">
      <xdr:nvGraphicFramePr>
        <xdr:cNvPr id="14" name="Chart 13">
          <a:extLst>
            <a:ext uri="{FF2B5EF4-FFF2-40B4-BE49-F238E27FC236}">
              <a16:creationId xmlns:a16="http://schemas.microsoft.com/office/drawing/2014/main" id="{15480341-2410-47D8-B224-512E49D35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9524</xdr:colOff>
      <xdr:row>33</xdr:row>
      <xdr:rowOff>180975</xdr:rowOff>
    </xdr:from>
    <xdr:to>
      <xdr:col>23</xdr:col>
      <xdr:colOff>606748</xdr:colOff>
      <xdr:row>52</xdr:row>
      <xdr:rowOff>161475</xdr:rowOff>
    </xdr:to>
    <xdr:grpSp>
      <xdr:nvGrpSpPr>
        <xdr:cNvPr id="17" name="Group 16">
          <a:extLst>
            <a:ext uri="{FF2B5EF4-FFF2-40B4-BE49-F238E27FC236}">
              <a16:creationId xmlns:a16="http://schemas.microsoft.com/office/drawing/2014/main" id="{FB4D4492-8A96-49B9-B0D2-0DB3E36332C3}"/>
            </a:ext>
          </a:extLst>
        </xdr:cNvPr>
        <xdr:cNvGrpSpPr/>
      </xdr:nvGrpSpPr>
      <xdr:grpSpPr>
        <a:xfrm>
          <a:off x="200024" y="6591300"/>
          <a:ext cx="15608624" cy="3600000"/>
          <a:chOff x="200024" y="6819900"/>
          <a:chExt cx="15608624" cy="3600000"/>
        </a:xfrm>
      </xdr:grpSpPr>
      <xdr:graphicFrame macro="">
        <xdr:nvGraphicFramePr>
          <xdr:cNvPr id="13" name="Chart 12">
            <a:extLst>
              <a:ext uri="{FF2B5EF4-FFF2-40B4-BE49-F238E27FC236}">
                <a16:creationId xmlns:a16="http://schemas.microsoft.com/office/drawing/2014/main" id="{D52BFFBB-964B-4047-8B7A-B970C2D298A3}"/>
              </a:ext>
            </a:extLst>
          </xdr:cNvPr>
          <xdr:cNvGraphicFramePr>
            <a:graphicFrameLocks/>
          </xdr:cNvGraphicFramePr>
        </xdr:nvGraphicFramePr>
        <xdr:xfrm>
          <a:off x="200024" y="6819900"/>
          <a:ext cx="7560000" cy="3600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4ED36152-A217-4390-BF97-E22C75DF6CA1}"/>
              </a:ext>
            </a:extLst>
          </xdr:cNvPr>
          <xdr:cNvGraphicFramePr>
            <a:graphicFrameLocks/>
          </xdr:cNvGraphicFramePr>
        </xdr:nvGraphicFramePr>
        <xdr:xfrm>
          <a:off x="8248648" y="6819900"/>
          <a:ext cx="7560000" cy="3600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365600</xdr:colOff>
      <xdr:row>6</xdr:row>
      <xdr:rowOff>5490</xdr:rowOff>
    </xdr:to>
    <xdr:pic>
      <xdr:nvPicPr>
        <xdr:cNvPr id="2" name="Picture 1" descr="Auto Replace">
          <a:extLst>
            <a:ext uri="{FF2B5EF4-FFF2-40B4-BE49-F238E27FC236}">
              <a16:creationId xmlns:a16="http://schemas.microsoft.com/office/drawing/2014/main" id="{2A6BCB9D-370A-4195-9B42-4CCB722302A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1099025</xdr:colOff>
      <xdr:row>6</xdr:row>
      <xdr:rowOff>5490</xdr:rowOff>
    </xdr:to>
    <xdr:pic>
      <xdr:nvPicPr>
        <xdr:cNvPr id="2" name="Picture 1" descr="Auto Replac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3.673314930558" missingItemsLimit="0" createdVersion="6" refreshedVersion="6" minRefreshableVersion="3" recordCount="20" xr:uid="{C20841B8-9AB3-49F8-86F8-52854AEF0262}">
  <cacheSource type="worksheet">
    <worksheetSource name="BusinessActivities32"/>
  </cacheSource>
  <cacheFields count="14">
    <cacheField name=" REF" numFmtId="0">
      <sharedItems containsSemiMixedTypes="0" containsString="0" containsNumber="1" containsInteger="1" minValue="1" maxValue="20"/>
    </cacheField>
    <cacheField name="OPPORTUNITY SUMMARY" numFmtId="0">
      <sharedItems containsNonDate="0" containsString="0" containsBlank="1"/>
    </cacheField>
    <cacheField name="OPP DESCRIPTION" numFmtId="0">
      <sharedItems containsNonDate="0" containsString="0" containsBlank="1"/>
    </cacheField>
    <cacheField name="OPP TYPE" numFmtId="0">
      <sharedItems containsNonDate="0" containsString="0" containsBlank="1" count="1">
        <m/>
      </sharedItems>
    </cacheField>
    <cacheField name="OPP OWNER" numFmtId="0">
      <sharedItems containsNonDate="0" containsString="0" containsBlank="1" count="1">
        <m/>
      </sharedItems>
    </cacheField>
    <cacheField name="LIKELIHOOD" numFmtId="0">
      <sharedItems/>
    </cacheField>
    <cacheField name="LIKELIHOOD RATIONALE" numFmtId="0">
      <sharedItems containsNonDate="0" containsString="0" containsBlank="1"/>
    </cacheField>
    <cacheField name="IMPACT" numFmtId="0">
      <sharedItems/>
    </cacheField>
    <cacheField name="IMPACT RATIONALE" numFmtId="0">
      <sharedItems containsNonDate="0" containsString="0" containsBlank="1"/>
    </cacheField>
    <cacheField name="OPPORTUNITY SCORE" numFmtId="0">
      <sharedItems/>
    </cacheField>
    <cacheField name="OPPORTUNITY LEVEL" numFmtId="0">
      <sharedItems count="1">
        <s v="Calculated"/>
      </sharedItems>
    </cacheField>
    <cacheField name="ACTION" numFmtId="0">
      <sharedItems containsNonDate="0" containsString="0" containsBlank="1"/>
    </cacheField>
    <cacheField name="ACTION OWNER" numFmtId="0">
      <sharedItems containsNonDate="0" containsString="0" containsBlank="1" count="1">
        <m/>
      </sharedItems>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m/>
    <m/>
    <x v="0"/>
    <x v="0"/>
    <s v="Select…"/>
    <m/>
    <s v="Select…"/>
    <m/>
    <s v="Calculated"/>
    <x v="0"/>
    <m/>
    <x v="0"/>
    <m/>
  </r>
  <r>
    <n v="2"/>
    <m/>
    <m/>
    <x v="0"/>
    <x v="0"/>
    <s v="Select…"/>
    <m/>
    <s v="Select…"/>
    <m/>
    <s v="Calculated"/>
    <x v="0"/>
    <m/>
    <x v="0"/>
    <m/>
  </r>
  <r>
    <n v="3"/>
    <m/>
    <m/>
    <x v="0"/>
    <x v="0"/>
    <s v="Select…"/>
    <m/>
    <s v="Select…"/>
    <m/>
    <s v="Calculated"/>
    <x v="0"/>
    <m/>
    <x v="0"/>
    <m/>
  </r>
  <r>
    <n v="4"/>
    <m/>
    <m/>
    <x v="0"/>
    <x v="0"/>
    <s v="Select…"/>
    <m/>
    <s v="Select…"/>
    <m/>
    <s v="Calculated"/>
    <x v="0"/>
    <m/>
    <x v="0"/>
    <m/>
  </r>
  <r>
    <n v="5"/>
    <m/>
    <m/>
    <x v="0"/>
    <x v="0"/>
    <s v="Select…"/>
    <m/>
    <s v="Select…"/>
    <m/>
    <s v="Calculated"/>
    <x v="0"/>
    <m/>
    <x v="0"/>
    <m/>
  </r>
  <r>
    <n v="6"/>
    <m/>
    <m/>
    <x v="0"/>
    <x v="0"/>
    <s v="Select…"/>
    <m/>
    <s v="Select…"/>
    <m/>
    <s v="Calculated"/>
    <x v="0"/>
    <m/>
    <x v="0"/>
    <m/>
  </r>
  <r>
    <n v="7"/>
    <m/>
    <m/>
    <x v="0"/>
    <x v="0"/>
    <s v="Select…"/>
    <m/>
    <s v="Select…"/>
    <m/>
    <s v="Calculated"/>
    <x v="0"/>
    <m/>
    <x v="0"/>
    <m/>
  </r>
  <r>
    <n v="8"/>
    <m/>
    <m/>
    <x v="0"/>
    <x v="0"/>
    <s v="Select…"/>
    <m/>
    <s v="Select…"/>
    <m/>
    <s v="Calculated"/>
    <x v="0"/>
    <m/>
    <x v="0"/>
    <m/>
  </r>
  <r>
    <n v="9"/>
    <m/>
    <m/>
    <x v="0"/>
    <x v="0"/>
    <s v="Select…"/>
    <m/>
    <s v="Select…"/>
    <m/>
    <s v="Calculated"/>
    <x v="0"/>
    <m/>
    <x v="0"/>
    <m/>
  </r>
  <r>
    <n v="10"/>
    <m/>
    <m/>
    <x v="0"/>
    <x v="0"/>
    <s v="Select…"/>
    <m/>
    <s v="Select…"/>
    <m/>
    <s v="Calculated"/>
    <x v="0"/>
    <m/>
    <x v="0"/>
    <m/>
  </r>
  <r>
    <n v="11"/>
    <m/>
    <m/>
    <x v="0"/>
    <x v="0"/>
    <s v="Select…"/>
    <m/>
    <s v="Select…"/>
    <m/>
    <s v="Calculated"/>
    <x v="0"/>
    <m/>
    <x v="0"/>
    <m/>
  </r>
  <r>
    <n v="12"/>
    <m/>
    <m/>
    <x v="0"/>
    <x v="0"/>
    <s v="Select…"/>
    <m/>
    <s v="Select…"/>
    <m/>
    <s v="Calculated"/>
    <x v="0"/>
    <m/>
    <x v="0"/>
    <m/>
  </r>
  <r>
    <n v="13"/>
    <m/>
    <m/>
    <x v="0"/>
    <x v="0"/>
    <s v="Select…"/>
    <m/>
    <s v="Select…"/>
    <m/>
    <s v="Calculated"/>
    <x v="0"/>
    <m/>
    <x v="0"/>
    <m/>
  </r>
  <r>
    <n v="14"/>
    <m/>
    <m/>
    <x v="0"/>
    <x v="0"/>
    <s v="Select…"/>
    <m/>
    <s v="Select…"/>
    <m/>
    <s v="Calculated"/>
    <x v="0"/>
    <m/>
    <x v="0"/>
    <m/>
  </r>
  <r>
    <n v="15"/>
    <m/>
    <m/>
    <x v="0"/>
    <x v="0"/>
    <s v="Select…"/>
    <m/>
    <s v="Select…"/>
    <m/>
    <s v="Calculated"/>
    <x v="0"/>
    <m/>
    <x v="0"/>
    <m/>
  </r>
  <r>
    <n v="16"/>
    <m/>
    <m/>
    <x v="0"/>
    <x v="0"/>
    <s v="Select…"/>
    <m/>
    <s v="Select…"/>
    <m/>
    <s v="Calculated"/>
    <x v="0"/>
    <m/>
    <x v="0"/>
    <m/>
  </r>
  <r>
    <n v="17"/>
    <m/>
    <m/>
    <x v="0"/>
    <x v="0"/>
    <s v="Select…"/>
    <m/>
    <s v="Select…"/>
    <m/>
    <s v="Calculated"/>
    <x v="0"/>
    <m/>
    <x v="0"/>
    <m/>
  </r>
  <r>
    <n v="18"/>
    <m/>
    <m/>
    <x v="0"/>
    <x v="0"/>
    <s v="Select…"/>
    <m/>
    <s v="Select…"/>
    <m/>
    <s v="Calculated"/>
    <x v="0"/>
    <m/>
    <x v="0"/>
    <m/>
  </r>
  <r>
    <n v="19"/>
    <m/>
    <m/>
    <x v="0"/>
    <x v="0"/>
    <s v="Select…"/>
    <m/>
    <s v="Select…"/>
    <m/>
    <s v="Calculated"/>
    <x v="0"/>
    <m/>
    <x v="0"/>
    <m/>
  </r>
  <r>
    <n v="20"/>
    <m/>
    <m/>
    <x v="0"/>
    <x v="0"/>
    <s v="Select…"/>
    <m/>
    <s v="Select…"/>
    <m/>
    <s v="Calculated"/>
    <x v="0"/>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AA71E0-4663-4C80-B276-E524DC999BCD}" name="OppsByLevel" cacheId="2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0">
  <location ref="B6:C7" firstHeaderRow="1" firstDataRow="1" firstDataCol="1"/>
  <pivotFields count="1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s>
  <rowFields count="1">
    <field x="10"/>
  </rowFields>
  <rowItems count="1">
    <i>
      <x/>
    </i>
  </rowItems>
  <colItems count="1">
    <i/>
  </colItems>
  <dataFields count="1">
    <dataField name="OPPORTUNITY LEVEL " fld="10" subtotal="count" baseField="0" baseItem="0"/>
  </dataFields>
  <formats count="10">
    <format dxfId="66">
      <pivotArea type="all" dataOnly="0" outline="0" fieldPosition="0"/>
    </format>
    <format dxfId="65">
      <pivotArea outline="0" collapsedLevelsAreSubtotals="1" fieldPosition="0"/>
    </format>
    <format dxfId="64">
      <pivotArea field="10" type="button" dataOnly="0" labelOnly="1" outline="0" axis="axisRow" fieldPosition="0"/>
    </format>
    <format dxfId="63">
      <pivotArea dataOnly="0" labelOnly="1" outline="0" fieldPosition="0">
        <references count="1">
          <reference field="10" count="0"/>
        </references>
      </pivotArea>
    </format>
    <format dxfId="62">
      <pivotArea dataOnly="0" labelOnly="1" outline="0" axis="axisValues" fieldPosition="0"/>
    </format>
    <format dxfId="61">
      <pivotArea outline="0" collapsedLevelsAreSubtotals="1" fieldPosition="0"/>
    </format>
    <format dxfId="60">
      <pivotArea field="10" type="button" dataOnly="0" labelOnly="1" outline="0" axis="axisRow" fieldPosition="0"/>
    </format>
    <format dxfId="59">
      <pivotArea dataOnly="0" labelOnly="1" outline="0" axis="axisValues" fieldPosition="0"/>
    </format>
    <format dxfId="58">
      <pivotArea field="10" type="button" dataOnly="0" labelOnly="1" outline="0" axis="axisRow" fieldPosition="0"/>
    </format>
    <format dxfId="57">
      <pivotArea dataOnly="0" labelOnly="1" outline="0" axis="axisValues" fieldPosition="0"/>
    </format>
  </formats>
  <chartFormats count="5">
    <chartFormat chart="6" format="19"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10" count="1" selected="0">
            <x v="0"/>
          </reference>
        </references>
      </pivotArea>
    </chartFormat>
    <chartFormat chart="9" format="29" series="1">
      <pivotArea type="data" outline="0" fieldPosition="0">
        <references count="1">
          <reference field="4294967294" count="1" selected="0">
            <x v="0"/>
          </reference>
        </references>
      </pivotArea>
    </chartFormat>
    <chartFormat chart="9" format="32">
      <pivotArea type="data" outline="0" fieldPosition="0">
        <references count="2">
          <reference field="4294967294" count="1" selected="0">
            <x v="0"/>
          </reference>
          <reference field="10" count="1" selected="0">
            <x v="0"/>
          </reference>
        </references>
      </pivotArea>
    </chartFormat>
    <chartFormat chart="9" format="3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EBF2A1-4872-461D-A119-E41282097F24}" name="OppsByLevel&amp;Type" cacheId="22"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5">
  <location ref="B6:D7" firstHeaderRow="1" firstDataRow="1" firstDataCol="2"/>
  <pivotFields count="14">
    <pivotField dataField="1"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s>
  <rowFields count="2">
    <field x="3"/>
    <field x="10"/>
  </rowFields>
  <rowItems count="1">
    <i>
      <x/>
      <x/>
    </i>
  </rowItems>
  <colItems count="1">
    <i/>
  </colItems>
  <dataFields count="1">
    <dataField name="Count of  REF" fld="0" subtotal="count" baseField="3" baseItem="0"/>
  </dataFields>
  <formats count="19">
    <format dxfId="56">
      <pivotArea type="all" dataOnly="0" outline="0" fieldPosition="0"/>
    </format>
    <format dxfId="55">
      <pivotArea outline="0" collapsedLevelsAreSubtotals="1" fieldPosition="0"/>
    </format>
    <format dxfId="54">
      <pivotArea type="origin" dataOnly="0" labelOnly="1" outline="0" fieldPosition="0"/>
    </format>
    <format dxfId="53">
      <pivotArea field="10" type="button" dataOnly="0" labelOnly="1" outline="0" axis="axisRow" fieldPosition="1"/>
    </format>
    <format dxfId="52">
      <pivotArea type="topRight" dataOnly="0" labelOnly="1" outline="0" fieldPosition="0"/>
    </format>
    <format dxfId="51">
      <pivotArea field="3" type="button" dataOnly="0" labelOnly="1" outline="0" axis="axisRow" fieldPosition="0"/>
    </format>
    <format dxfId="50">
      <pivotArea dataOnly="0" labelOnly="1" outline="0" fieldPosition="0">
        <references count="1">
          <reference field="3" count="0"/>
        </references>
      </pivotArea>
    </format>
    <format dxfId="49">
      <pivotArea dataOnly="0" labelOnly="1" outline="0" fieldPosition="0">
        <references count="1">
          <reference field="10" count="0"/>
        </references>
      </pivotArea>
    </format>
    <format dxfId="48">
      <pivotArea outline="0" collapsedLevelsAreSubtotals="1" fieldPosition="0"/>
    </format>
    <format dxfId="47">
      <pivotArea type="origin" dataOnly="0" labelOnly="1" outline="0" fieldPosition="0"/>
    </format>
    <format dxfId="46">
      <pivotArea field="10" type="button" dataOnly="0" labelOnly="1" outline="0" axis="axisRow" fieldPosition="1"/>
    </format>
    <format dxfId="45">
      <pivotArea type="topRight" dataOnly="0" labelOnly="1" outline="0" fieldPosition="0"/>
    </format>
    <format dxfId="44">
      <pivotArea field="3" type="button" dataOnly="0" labelOnly="1" outline="0" axis="axisRow" fieldPosition="0"/>
    </format>
    <format dxfId="43">
      <pivotArea dataOnly="0" labelOnly="1" outline="0" fieldPosition="0">
        <references count="1">
          <reference field="10" count="0"/>
        </references>
      </pivotArea>
    </format>
    <format dxfId="42">
      <pivotArea type="origin" dataOnly="0" labelOnly="1" outline="0" fieldPosition="0"/>
    </format>
    <format dxfId="41">
      <pivotArea field="10" type="button" dataOnly="0" labelOnly="1" outline="0" axis="axisRow" fieldPosition="1"/>
    </format>
    <format dxfId="40">
      <pivotArea type="topRight" dataOnly="0" labelOnly="1" outline="0" fieldPosition="0"/>
    </format>
    <format dxfId="39">
      <pivotArea field="3" type="button" dataOnly="0" labelOnly="1" outline="0" axis="axisRow" fieldPosition="0"/>
    </format>
    <format dxfId="38">
      <pivotArea dataOnly="0" labelOnly="1" outline="0" fieldPosition="0">
        <references count="1">
          <reference field="10" count="0"/>
        </references>
      </pivotArea>
    </format>
  </formats>
  <chartFormats count="6">
    <chartFormat chart="1" format="3" series="1">
      <pivotArea type="data" outline="0" fieldPosition="0">
        <references count="2">
          <reference field="4294967294" count="1" selected="0">
            <x v="0"/>
          </reference>
          <reference field="3" count="1" selected="0">
            <x v="0"/>
          </reference>
        </references>
      </pivotArea>
    </chartFormat>
    <chartFormat chart="1" format="5" series="1">
      <pivotArea type="data" outline="0" fieldPosition="0">
        <references count="1">
          <reference field="4294967294" count="1" selected="0">
            <x v="0"/>
          </reference>
        </references>
      </pivotArea>
    </chartFormat>
    <chartFormat chart="1" format="11" series="1">
      <pivotArea type="data" outline="0" fieldPosition="0">
        <references count="2">
          <reference field="4294967294" count="1" selected="0">
            <x v="0"/>
          </reference>
          <reference field="10"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3" count="1" selected="0">
            <x v="0"/>
          </reference>
        </references>
      </pivotArea>
    </chartFormat>
    <chartFormat chart="4" format="2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1FE320-6D35-43DE-BA8B-3B8892B7085B}" name="OppLevelsByOppOwner" cacheId="22"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4">
  <location ref="B6:D7" firstHeaderRow="1" firstDataRow="1" firstDataCol="2"/>
  <pivotFields count="14">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s>
  <rowFields count="2">
    <field x="4"/>
    <field x="10"/>
  </rowFields>
  <rowItems count="1">
    <i>
      <x/>
      <x/>
    </i>
  </rowItems>
  <colItems count="1">
    <i/>
  </colItems>
  <dataFields count="1">
    <dataField name="Count of OPPORTUNITY LEVEL" fld="10" subtotal="count" baseField="0" baseItem="0"/>
  </dataFields>
  <formats count="19">
    <format dxfId="37">
      <pivotArea type="all" dataOnly="0" outline="0" fieldPosition="0"/>
    </format>
    <format dxfId="36">
      <pivotArea outline="0" collapsedLevelsAreSubtotals="1" fieldPosition="0"/>
    </format>
    <format dxfId="35">
      <pivotArea type="origin" dataOnly="0" labelOnly="1" outline="0" fieldPosition="0"/>
    </format>
    <format dxfId="34">
      <pivotArea field="10" type="button" dataOnly="0" labelOnly="1" outline="0" axis="axisRow" fieldPosition="1"/>
    </format>
    <format dxfId="33">
      <pivotArea type="topRight" dataOnly="0" labelOnly="1" outline="0" fieldPosition="0"/>
    </format>
    <format dxfId="32">
      <pivotArea field="4" type="button" dataOnly="0" labelOnly="1" outline="0" axis="axisRow" fieldPosition="0"/>
    </format>
    <format dxfId="31">
      <pivotArea dataOnly="0" labelOnly="1" outline="0" fieldPosition="0">
        <references count="1">
          <reference field="4" count="0"/>
        </references>
      </pivotArea>
    </format>
    <format dxfId="30">
      <pivotArea dataOnly="0" labelOnly="1" outline="0" fieldPosition="0">
        <references count="1">
          <reference field="10" count="0"/>
        </references>
      </pivotArea>
    </format>
    <format dxfId="29">
      <pivotArea outline="0" collapsedLevelsAreSubtotals="1" fieldPosition="0"/>
    </format>
    <format dxfId="28">
      <pivotArea type="origin" dataOnly="0" labelOnly="1" outline="0" fieldPosition="0"/>
    </format>
    <format dxfId="27">
      <pivotArea field="10" type="button" dataOnly="0" labelOnly="1" outline="0" axis="axisRow" fieldPosition="1"/>
    </format>
    <format dxfId="26">
      <pivotArea type="topRight" dataOnly="0" labelOnly="1" outline="0" fieldPosition="0"/>
    </format>
    <format dxfId="25">
      <pivotArea field="4" type="button" dataOnly="0" labelOnly="1" outline="0" axis="axisRow" fieldPosition="0"/>
    </format>
    <format dxfId="24">
      <pivotArea dataOnly="0" labelOnly="1" outline="0" fieldPosition="0">
        <references count="1">
          <reference field="10" count="0"/>
        </references>
      </pivotArea>
    </format>
    <format dxfId="23">
      <pivotArea type="origin" dataOnly="0" labelOnly="1" outline="0" fieldPosition="0"/>
    </format>
    <format dxfId="22">
      <pivotArea field="10" type="button" dataOnly="0" labelOnly="1" outline="0" axis="axisRow" fieldPosition="1"/>
    </format>
    <format dxfId="21">
      <pivotArea type="topRight" dataOnly="0" labelOnly="1" outline="0" fieldPosition="0"/>
    </format>
    <format dxfId="20">
      <pivotArea field="4" type="button" dataOnly="0" labelOnly="1" outline="0" axis="axisRow" fieldPosition="0"/>
    </format>
    <format dxfId="19">
      <pivotArea dataOnly="0" labelOnly="1" outline="0" fieldPosition="0">
        <references count="1">
          <reference field="10" count="0"/>
        </references>
      </pivotArea>
    </format>
  </formats>
  <chartFormats count="9">
    <chartFormat chart="0" format="2" series="1">
      <pivotArea type="data" outline="0" fieldPosition="0">
        <references count="2">
          <reference field="4294967294" count="1" selected="0">
            <x v="0"/>
          </reference>
          <reference field="10" count="1" selected="0">
            <x v="0"/>
          </reference>
        </references>
      </pivotArea>
    </chartFormat>
    <chartFormat chart="0"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10">
      <pivotArea type="data" outline="0" fieldPosition="0">
        <references count="3">
          <reference field="4294967294" count="1" selected="0">
            <x v="0"/>
          </reference>
          <reference field="4" count="1" selected="0">
            <x v="0"/>
          </reference>
          <reference field="10"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7">
      <pivotArea type="data" outline="0" fieldPosition="0">
        <references count="3">
          <reference field="4294967294" count="1" selected="0">
            <x v="0"/>
          </reference>
          <reference field="4" count="1" selected="0">
            <x v="0"/>
          </reference>
          <reference field="10"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7">
      <pivotArea type="data" outline="0" fieldPosition="0">
        <references count="3">
          <reference field="4294967294" count="1" selected="0">
            <x v="0"/>
          </reference>
          <reference field="4" count="1" selected="0">
            <x v="0"/>
          </reference>
          <reference field="10" count="1" selected="0">
            <x v="0"/>
          </reference>
        </references>
      </pivotArea>
    </chartFormat>
    <chartFormat chart="3" format="1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CC026C-674B-4523-8EC0-993FDA4C1ABE}" name="OppActionOwner" cacheId="22"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11">
  <location ref="B6:D7" firstHeaderRow="1" firstDataRow="1" firstDataCol="2"/>
  <pivotFields count="14">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axis="axisRow" compact="0" outline="0" showAll="0" defaultSubtotal="0">
      <items count="1">
        <item x="0"/>
      </items>
    </pivotField>
    <pivotField compact="0" outline="0" showAll="0" defaultSubtotal="0"/>
  </pivotFields>
  <rowFields count="2">
    <field x="12"/>
    <field x="10"/>
  </rowFields>
  <rowItems count="1">
    <i>
      <x/>
      <x/>
    </i>
  </rowItems>
  <colItems count="1">
    <i/>
  </colItems>
  <dataFields count="1">
    <dataField name="Count of  REF" fld="0" subtotal="count" baseField="12" baseItem="0"/>
  </dataFields>
  <formats count="19">
    <format dxfId="18">
      <pivotArea type="all" dataOnly="0" outline="0" fieldPosition="0"/>
    </format>
    <format dxfId="17">
      <pivotArea outline="0" collapsedLevelsAreSubtotals="1" fieldPosition="0"/>
    </format>
    <format dxfId="16">
      <pivotArea type="origin" dataOnly="0" labelOnly="1" outline="0" fieldPosition="0"/>
    </format>
    <format dxfId="15">
      <pivotArea field="10" type="button" dataOnly="0" labelOnly="1" outline="0" axis="axisRow" fieldPosition="1"/>
    </format>
    <format dxfId="14">
      <pivotArea type="topRight" dataOnly="0" labelOnly="1" outline="0" fieldPosition="0"/>
    </format>
    <format dxfId="13">
      <pivotArea field="12" type="button" dataOnly="0" labelOnly="1" outline="0" axis="axisRow" fieldPosition="0"/>
    </format>
    <format dxfId="12">
      <pivotArea dataOnly="0" labelOnly="1" outline="0" fieldPosition="0">
        <references count="1">
          <reference field="12" count="0"/>
        </references>
      </pivotArea>
    </format>
    <format dxfId="11">
      <pivotArea dataOnly="0" labelOnly="1" outline="0" fieldPosition="0">
        <references count="1">
          <reference field="10" count="0"/>
        </references>
      </pivotArea>
    </format>
    <format dxfId="10">
      <pivotArea outline="0" collapsedLevelsAreSubtotals="1" fieldPosition="0"/>
    </format>
    <format dxfId="9">
      <pivotArea type="origin" dataOnly="0" labelOnly="1" outline="0" fieldPosition="0"/>
    </format>
    <format dxfId="8">
      <pivotArea field="10" type="button" dataOnly="0" labelOnly="1" outline="0" axis="axisRow" fieldPosition="1"/>
    </format>
    <format dxfId="7">
      <pivotArea type="topRight" dataOnly="0" labelOnly="1" outline="0" fieldPosition="0"/>
    </format>
    <format dxfId="6">
      <pivotArea field="12" type="button" dataOnly="0" labelOnly="1" outline="0" axis="axisRow" fieldPosition="0"/>
    </format>
    <format dxfId="5">
      <pivotArea dataOnly="0" labelOnly="1" outline="0" fieldPosition="0">
        <references count="1">
          <reference field="10" count="0"/>
        </references>
      </pivotArea>
    </format>
    <format dxfId="4">
      <pivotArea type="origin" dataOnly="0" labelOnly="1" outline="0" fieldPosition="0"/>
    </format>
    <format dxfId="3">
      <pivotArea field="10" type="button" dataOnly="0" labelOnly="1" outline="0" axis="axisRow" fieldPosition="1"/>
    </format>
    <format dxfId="2">
      <pivotArea type="topRight" dataOnly="0" labelOnly="1" outline="0" fieldPosition="0"/>
    </format>
    <format dxfId="1">
      <pivotArea field="12" type="button" dataOnly="0" labelOnly="1" outline="0" axis="axisRow" fieldPosition="0"/>
    </format>
    <format dxfId="0">
      <pivotArea dataOnly="0" labelOnly="1" outline="0" fieldPosition="0">
        <references count="1">
          <reference field="10" count="0"/>
        </references>
      </pivotArea>
    </format>
  </formats>
  <chartFormats count="13">
    <chartFormat chart="0" format="2" series="1">
      <pivotArea type="data" outline="0" fieldPosition="0">
        <references count="2">
          <reference field="4294967294" count="1" selected="0">
            <x v="0"/>
          </reference>
          <reference field="10" count="1" selected="0">
            <x v="0"/>
          </reference>
        </references>
      </pivotArea>
    </chartFormat>
    <chartFormat chart="3" format="11" series="1">
      <pivotArea type="data" outline="0" fieldPosition="0">
        <references count="2">
          <reference field="4294967294" count="1" selected="0">
            <x v="0"/>
          </reference>
          <reference field="10" count="1" selected="0">
            <x v="0"/>
          </reference>
        </references>
      </pivotArea>
    </chartFormat>
    <chartFormat chart="6" format="19" series="1">
      <pivotArea type="data" outline="0" fieldPosition="0">
        <references count="2">
          <reference field="4294967294" count="1" selected="0">
            <x v="0"/>
          </reference>
          <reference field="10" count="1" selected="0">
            <x v="0"/>
          </reference>
        </references>
      </pivotArea>
    </chartFormat>
    <chartFormat chart="7" format="3" series="1">
      <pivotArea type="data" outline="0" fieldPosition="0">
        <references count="2">
          <reference field="4294967294" count="1" selected="0">
            <x v="0"/>
          </reference>
          <reference field="10" count="1" selected="0">
            <x v="0"/>
          </reference>
        </references>
      </pivotArea>
    </chartFormat>
    <chartFormat chart="7" format="4" series="1">
      <pivotArea type="data" outline="0" fieldPosition="0">
        <references count="1">
          <reference field="4294967294" count="1" selected="0">
            <x v="0"/>
          </reference>
        </references>
      </pivotArea>
    </chartFormat>
    <chartFormat chart="6" format="2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3">
          <reference field="4294967294" count="1" selected="0">
            <x v="0"/>
          </reference>
          <reference field="10" count="1" selected="0">
            <x v="0"/>
          </reference>
          <reference field="12" count="1" selected="0">
            <x v="0"/>
          </reference>
        </references>
      </pivotArea>
    </chartFormat>
    <chartFormat chart="10"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_TYPE" xr10:uid="{E02E463A-1660-49BD-99C7-70036E63ECD6}" sourceName="OPPORTUNITY TYPE">
  <extLst>
    <x:ext xmlns:x15="http://schemas.microsoft.com/office/spreadsheetml/2010/11/main" uri="{2F2917AC-EB37-4324-AD4E-5DD8C200BD13}">
      <x15:tableSlicerCache tableId="3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_OWNER" xr10:uid="{27EF6177-BF10-4B9E-876B-63D81DF756FA}" sourceName="OPPORTUNITY OWNER">
  <extLst>
    <x:ext xmlns:x15="http://schemas.microsoft.com/office/spreadsheetml/2010/11/main" uri="{2F2917AC-EB37-4324-AD4E-5DD8C200BD13}">
      <x15:tableSlicerCache tableId="3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LEVEL" xr10:uid="{775670A8-BFF3-4470-9C55-A48887426A61}" sourceName="OPPORTUNITY LEVEL">
  <extLst>
    <x:ext xmlns:x15="http://schemas.microsoft.com/office/spreadsheetml/2010/11/main" uri="{2F2917AC-EB37-4324-AD4E-5DD8C200BD13}">
      <x15:tableSlicerCache tableId="31" column="1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_OWNER" xr10:uid="{7596584B-9F38-4046-AA06-1253662F72EC}" sourceName="ACTION OWNER">
  <extLst>
    <x:ext xmlns:x15="http://schemas.microsoft.com/office/spreadsheetml/2010/11/main" uri="{2F2917AC-EB37-4324-AD4E-5DD8C200BD13}">
      <x15:tableSlicerCache tableId="3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P TYPE" xr10:uid="{6BAEC401-B392-4789-B068-FDE3DB7BDA30}" cache="Slicer_OPP_TYPE" caption="OPPORTUNITY TYPE" style="CertiKit Slicer" rowHeight="241300"/>
  <slicer name="OPP OWNER" xr10:uid="{21AF5712-9148-460F-9A3B-5B3BA14A46A7}" cache="Slicer_OPP_OWNER" caption="OPPORTUNITY OWNER" style="CertiKit Slicer" rowHeight="241300"/>
  <slicer name="OPPORTUNITY LEVEL" xr10:uid="{8E875686-00A3-4BDB-BC69-9CB337EE1126}" cache="Slicer_OPPORTUNITY_LEVEL" caption="OPPORTUNITY LEVEL" style="CertiKit Slicer" rowHeight="241300"/>
  <slicer name="ACTION OWNER" xr10:uid="{DCCEDA6C-354D-4DAB-A4C0-2C9109A89367}" cache="Slicer_ACTION_OWNER" caption="ACTION OWNER" style="CertiKit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160D633-444D-4A30-82F0-6306E0D95D73}" name="BusinessActivities32" displayName="BusinessActivities32" ref="B14:O34" totalsRowShown="0" headerRowDxfId="95" dataDxfId="94">
  <autoFilter ref="B14:O34" xr:uid="{BD53A408-BD99-415D-A7FF-F0EC9F6E5AD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51504F7D-47ED-45B6-A86B-A0CC145512FE}" name=" REF" dataDxfId="93"/>
    <tableColumn id="2" xr3:uid="{811BDB3A-1377-4268-BAE1-8EF7BD37225B}" name="OPPORTUNITY SUMMARY" dataDxfId="92"/>
    <tableColumn id="17" xr3:uid="{C33681D0-7762-4584-B6CF-BB2C789A1584}" name="OPPORTUNITY DESCRIPTION" dataDxfId="91"/>
    <tableColumn id="3" xr3:uid="{5F84F784-E47F-42BB-9C9F-CB8863B1A110}" name="OPPORTUNITY TYPE" dataDxfId="90"/>
    <tableColumn id="4" xr3:uid="{644318AA-18C1-46A2-ADE6-ECB2FF7A7E05}" name="OPPORTUNITY OWNER" dataDxfId="89"/>
    <tableColumn id="5" xr3:uid="{EC3511ED-E9B8-40EE-9550-021EB95CB7E6}" name="LIKELIHOOD" dataDxfId="88"/>
    <tableColumn id="16" xr3:uid="{2493C8F0-AE84-4DE5-961A-569076992BF9}" name="LIKELIHOOD RATIONALE" dataDxfId="87"/>
    <tableColumn id="15" xr3:uid="{932A78D7-338B-4F30-8E32-5C66B0B9E957}" name="IMPACT" dataDxfId="86"/>
    <tableColumn id="14" xr3:uid="{595BBE84-D9F5-4B05-A6CD-9AAC2648ED79}" name="IMPACT RATIONALE" dataDxfId="85"/>
    <tableColumn id="13" xr3:uid="{E5FDDD2D-29A7-446A-B6A2-507FE18C1C30}" name="OPPORTUNITY SCORE" dataDxfId="84">
      <calculatedColumnFormula>IFERROR(BusinessActivities32[[#This Row],[LIKELIHOOD]]*BusinessActivities32[[#This Row],[IMPACT]],"Calculated")</calculatedColumnFormula>
    </tableColumn>
    <tableColumn id="12" xr3:uid="{0179AADE-2053-4378-BE6B-1FB4EA0372F1}" name="OPPORTUNITY LEVEL" dataDxfId="83">
      <calculatedColumnFormula>IF(K15="Calculated", "Calculated", IF(K15&gt;11,"HIGH",IF(K15&gt;4,"MEDIUM","LOW")))</calculatedColumnFormula>
    </tableColumn>
    <tableColumn id="11" xr3:uid="{E33203D1-3B35-4DE1-8F99-1DAA18D710D7}" name="ACTION" dataDxfId="82"/>
    <tableColumn id="10" xr3:uid="{1985859C-E9D6-40DE-BCD8-4B89D5194F2B}" name="ACTION OWNER" dataDxfId="81"/>
    <tableColumn id="6" xr3:uid="{2742F45C-57B0-43AF-9F49-E19419F71884}" name="COMMENTS" dataDxfId="80"/>
  </tableColumns>
  <tableStyleInfo name="CertiKit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515465-566F-4C64-B0AE-9982070D9E14}" name="Table2" displayName="Table2" ref="B11:D16" totalsRowShown="0" tableBorderDxfId="79">
  <autoFilter ref="B11:D16" xr:uid="{EAA7D41A-EC87-4191-A845-C9F0B7A3E268}">
    <filterColumn colId="0" hiddenButton="1"/>
    <filterColumn colId="1" hiddenButton="1"/>
    <filterColumn colId="2" hiddenButton="1"/>
  </autoFilter>
  <tableColumns count="3">
    <tableColumn id="1" xr3:uid="{55858E4A-F4AE-4A2A-9DE7-0009EE0ACD21}" name="LIKELIHOOD" dataDxfId="78"/>
    <tableColumn id="2" xr3:uid="{2AF7EF09-FB10-40AB-8ADE-7180E92547FC}" name="DESCRIPTION" dataDxfId="77"/>
    <tableColumn id="3" xr3:uid="{002DE50A-EB60-4C09-8723-CBD6AE820C7B}" name="SUMMARY" dataDxfId="76"/>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91095E0-2ED9-45F3-90BB-85CEADCD368C}" name="Table32" displayName="Table32" ref="B12:H17" totalsRowShown="0" headerRowDxfId="75" dataDxfId="74">
  <autoFilter ref="B12:H17" xr:uid="{DFFB38B4-36B8-469E-9617-BB06E34550A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C29493B-FD9F-4048-910F-7B5A212BC0E3}" name="IMPACT RATING" dataDxfId="73"/>
    <tableColumn id="2" xr3:uid="{36761AD9-616C-4399-85E2-5C8DC3CB7D31}" name="GENERAL DESCRIPTION" dataDxfId="72"/>
    <tableColumn id="3" xr3:uid="{851909F8-60C0-4185-A20D-95B2C15066A8}" name="EFFECT ON CUSTOMERS" dataDxfId="71"/>
    <tableColumn id="4" xr3:uid="{939F59F5-D561-43C0-AA71-B9568A6E865E}" name="FINANCIAL BENEFIT TO ORGANIZATION" dataDxfId="70"/>
    <tableColumn id="5" xr3:uid="{1AB45AEB-2657-45A1-ACDA-55D9B2FB9BF6}" name="EFFECT ON EMPLOYEES" dataDxfId="69"/>
    <tableColumn id="6" xr3:uid="{59CDD794-D815-42EE-BE9C-2D78D8BE78F2}" name="POSITIVE IMPACT ON REPUTATION" dataDxfId="68"/>
    <tableColumn id="7" xr3:uid="{5E7951D1-B0D9-4810-BFBE-18355A6A8F20}" name="OTHER CRITERIA" dataDxfId="67"/>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colours (new)">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2BBA-888B-4507-9B83-2D869354FD18}">
  <dimension ref="A2:B26"/>
  <sheetViews>
    <sheetView showGridLines="0" tabSelected="1" zoomScaleNormal="100" workbookViewId="0"/>
  </sheetViews>
  <sheetFormatPr defaultRowHeight="15" x14ac:dyDescent="0.25"/>
  <cols>
    <col min="1" max="1" width="2.85546875" style="3" customWidth="1"/>
    <col min="2" max="2" width="94.140625" style="3" customWidth="1"/>
    <col min="3" max="16384" width="9.140625" style="3"/>
  </cols>
  <sheetData>
    <row r="2" spans="1:2" x14ac:dyDescent="0.25">
      <c r="B2" s="4"/>
    </row>
    <row r="3" spans="1:2" x14ac:dyDescent="0.25">
      <c r="B3" s="4"/>
    </row>
    <row r="4" spans="1:2" x14ac:dyDescent="0.25">
      <c r="B4" s="4"/>
    </row>
    <row r="5" spans="1:2" x14ac:dyDescent="0.25">
      <c r="B5" s="4"/>
    </row>
    <row r="6" spans="1:2" x14ac:dyDescent="0.25">
      <c r="B6" s="4"/>
    </row>
    <row r="7" spans="1:2" x14ac:dyDescent="0.25">
      <c r="B7" s="4"/>
    </row>
    <row r="8" spans="1:2" ht="38.25" x14ac:dyDescent="0.25">
      <c r="B8" s="2" t="s">
        <v>8</v>
      </c>
    </row>
    <row r="10" spans="1:2" ht="111" x14ac:dyDescent="0.25">
      <c r="B10" s="2" t="s">
        <v>9</v>
      </c>
    </row>
    <row r="12" spans="1:2" ht="51" x14ac:dyDescent="0.25">
      <c r="B12" s="2" t="s">
        <v>13</v>
      </c>
    </row>
    <row r="14" spans="1:2" ht="66" x14ac:dyDescent="0.25">
      <c r="A14" s="11"/>
      <c r="B14" s="2" t="s">
        <v>78</v>
      </c>
    </row>
    <row r="15" spans="1:2" x14ac:dyDescent="0.25">
      <c r="A15" s="11"/>
      <c r="B15" s="5"/>
    </row>
    <row r="16" spans="1:2" ht="111" x14ac:dyDescent="0.25">
      <c r="B16" s="2" t="s">
        <v>14</v>
      </c>
    </row>
    <row r="18" spans="2:2" ht="36" x14ac:dyDescent="0.25">
      <c r="B18" s="2" t="s">
        <v>133</v>
      </c>
    </row>
    <row r="20" spans="2:2" ht="66" x14ac:dyDescent="0.25">
      <c r="B20" s="2" t="s">
        <v>10</v>
      </c>
    </row>
    <row r="22" spans="2:2" ht="96" x14ac:dyDescent="0.25">
      <c r="B22" s="2" t="s">
        <v>11</v>
      </c>
    </row>
    <row r="24" spans="2:2" ht="246" x14ac:dyDescent="0.25">
      <c r="B24" s="2" t="s">
        <v>12</v>
      </c>
    </row>
    <row r="25" spans="2:2" ht="15.75" thickBot="1" x14ac:dyDescent="0.3">
      <c r="B25" s="12"/>
    </row>
    <row r="26" spans="2:2" ht="15.75" thickTop="1" x14ac:dyDescent="0.25"/>
  </sheetData>
  <pageMargins left="0.70866141732283472" right="0.70866141732283472" top="0.74803149606299213" bottom="0.74803149606299213" header="0.31496062992125984" footer="0.31496062992125984"/>
  <pageSetup paperSize="9" scale="77" orientation="portrait" horizontalDpi="1200" verticalDpi="1200" r:id="rId1"/>
  <headerFooter>
    <oddFooter>&amp;L&amp;D&amp;CPage &amp;P of &amp;N&amp;R[Insert classification]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E2CA3-BC18-4270-904D-7928C73D9410}">
  <dimension ref="B2:C19"/>
  <sheetViews>
    <sheetView showGridLines="0" zoomScaleNormal="100" workbookViewId="0"/>
  </sheetViews>
  <sheetFormatPr defaultRowHeight="15" x14ac:dyDescent="0.25"/>
  <cols>
    <col min="1" max="1" width="2.85546875" style="3" customWidth="1"/>
    <col min="2" max="2" width="22" style="3" customWidth="1"/>
    <col min="3" max="3" width="83.7109375" style="3" customWidth="1"/>
    <col min="4" max="16384" width="9.140625" style="3"/>
  </cols>
  <sheetData>
    <row r="2" spans="2:3" x14ac:dyDescent="0.25">
      <c r="B2" s="4"/>
    </row>
    <row r="3" spans="2:3" x14ac:dyDescent="0.25">
      <c r="B3" s="4"/>
    </row>
    <row r="4" spans="2:3" x14ac:dyDescent="0.25">
      <c r="B4" s="4"/>
    </row>
    <row r="5" spans="2:3" x14ac:dyDescent="0.25">
      <c r="B5" s="4"/>
    </row>
    <row r="6" spans="2:3" x14ac:dyDescent="0.25">
      <c r="B6" s="4"/>
    </row>
    <row r="8" spans="2:3" ht="21" x14ac:dyDescent="0.25">
      <c r="B8" s="6" t="s">
        <v>15</v>
      </c>
      <c r="C8" s="1"/>
    </row>
    <row r="9" spans="2:3" x14ac:dyDescent="0.25">
      <c r="B9" s="1"/>
      <c r="C9" s="1"/>
    </row>
    <row r="10" spans="2:3" ht="30" x14ac:dyDescent="0.25">
      <c r="B10" s="10" t="s">
        <v>16</v>
      </c>
      <c r="C10" s="13" t="s">
        <v>17</v>
      </c>
    </row>
    <row r="11" spans="2:3" ht="30" x14ac:dyDescent="0.25">
      <c r="B11" s="10" t="s">
        <v>18</v>
      </c>
      <c r="C11" s="13" t="s">
        <v>1</v>
      </c>
    </row>
    <row r="12" spans="2:3" ht="30" x14ac:dyDescent="0.25">
      <c r="B12" s="10" t="s">
        <v>19</v>
      </c>
      <c r="C12" s="14" t="s">
        <v>20</v>
      </c>
    </row>
    <row r="13" spans="2:3" ht="30" x14ac:dyDescent="0.25">
      <c r="B13" s="10" t="s">
        <v>21</v>
      </c>
      <c r="C13" s="15" t="s">
        <v>22</v>
      </c>
    </row>
    <row r="14" spans="2:3" ht="30" x14ac:dyDescent="0.25">
      <c r="B14" s="10" t="s">
        <v>5</v>
      </c>
      <c r="C14" s="16" t="s">
        <v>2</v>
      </c>
    </row>
    <row r="15" spans="2:3" ht="30" x14ac:dyDescent="0.25">
      <c r="B15" s="10" t="s">
        <v>6</v>
      </c>
      <c r="C15" s="16" t="s">
        <v>23</v>
      </c>
    </row>
    <row r="16" spans="2:3" ht="30" x14ac:dyDescent="0.25">
      <c r="B16" s="10" t="s">
        <v>24</v>
      </c>
      <c r="C16" s="16" t="s">
        <v>25</v>
      </c>
    </row>
    <row r="17" spans="2:3" ht="30" x14ac:dyDescent="0.25">
      <c r="B17" s="10" t="s">
        <v>26</v>
      </c>
      <c r="C17" s="16" t="s">
        <v>27</v>
      </c>
    </row>
    <row r="18" spans="2:3" ht="30" x14ac:dyDescent="0.25">
      <c r="B18" s="10" t="s">
        <v>7</v>
      </c>
      <c r="C18" s="16" t="s">
        <v>3</v>
      </c>
    </row>
    <row r="19" spans="2:3" ht="30" x14ac:dyDescent="0.25">
      <c r="B19" s="10" t="s">
        <v>28</v>
      </c>
      <c r="C19" s="16" t="s">
        <v>29</v>
      </c>
    </row>
  </sheetData>
  <pageMargins left="0.70866141732283472" right="0.70866141732283472" top="0.74803149606299213" bottom="0.74803149606299213" header="0.31496062992125984" footer="0.31496062992125984"/>
  <pageSetup paperSize="9" scale="90" orientation="portrait" horizontalDpi="1200" verticalDpi="1200" r:id="rId1"/>
  <headerFooter>
    <oddFooter>&amp;L&amp;D&amp;CPage &amp;P of &amp;N&amp;R[Insert classification]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2B93A-E25C-440F-AFCB-892858CCBFC9}">
  <sheetPr>
    <pageSetUpPr fitToPage="1"/>
  </sheetPr>
  <dimension ref="B8:O34"/>
  <sheetViews>
    <sheetView showGridLines="0" workbookViewId="0"/>
  </sheetViews>
  <sheetFormatPr defaultRowHeight="15" x14ac:dyDescent="0.25"/>
  <cols>
    <col min="1" max="1" width="2.85546875" customWidth="1"/>
    <col min="2" max="2" width="4.42578125" customWidth="1"/>
    <col min="3" max="3" width="28" customWidth="1"/>
    <col min="4" max="4" width="27.7109375" customWidth="1"/>
    <col min="5" max="5" width="20.7109375" customWidth="1"/>
    <col min="6" max="6" width="20.140625" customWidth="1"/>
    <col min="7" max="7" width="11.7109375" customWidth="1"/>
    <col min="8" max="8" width="18.140625" customWidth="1"/>
    <col min="9" max="9" width="10.42578125" customWidth="1"/>
    <col min="10" max="10" width="18.85546875" customWidth="1"/>
    <col min="11" max="12" width="13.7109375" customWidth="1"/>
    <col min="13" max="13" width="30.42578125" customWidth="1"/>
    <col min="14" max="14" width="23.140625" customWidth="1"/>
    <col min="15" max="15" width="22.42578125" customWidth="1"/>
  </cols>
  <sheetData>
    <row r="8" spans="2:15" ht="21" x14ac:dyDescent="0.25">
      <c r="B8" s="6" t="s">
        <v>42</v>
      </c>
    </row>
    <row r="9" spans="2:15" x14ac:dyDescent="0.25">
      <c r="B9" s="17"/>
    </row>
    <row r="10" spans="2:15" x14ac:dyDescent="0.25">
      <c r="B10" s="17" t="s">
        <v>43</v>
      </c>
    </row>
    <row r="11" spans="2:15" x14ac:dyDescent="0.25">
      <c r="B11" s="17" t="s">
        <v>44</v>
      </c>
    </row>
    <row r="12" spans="2:15" x14ac:dyDescent="0.25">
      <c r="B12" s="22" t="s">
        <v>79</v>
      </c>
    </row>
    <row r="14" spans="2:15" ht="33.75" customHeight="1" x14ac:dyDescent="0.25">
      <c r="B14" s="7" t="s">
        <v>4</v>
      </c>
      <c r="C14" s="7" t="s">
        <v>30</v>
      </c>
      <c r="D14" s="7" t="s">
        <v>117</v>
      </c>
      <c r="E14" s="7" t="s">
        <v>118</v>
      </c>
      <c r="F14" s="7" t="s">
        <v>119</v>
      </c>
      <c r="G14" s="7" t="s">
        <v>33</v>
      </c>
      <c r="H14" s="7" t="s">
        <v>34</v>
      </c>
      <c r="I14" s="7" t="s">
        <v>35</v>
      </c>
      <c r="J14" s="7" t="s">
        <v>36</v>
      </c>
      <c r="K14" s="7" t="s">
        <v>37</v>
      </c>
      <c r="L14" s="7" t="s">
        <v>38</v>
      </c>
      <c r="M14" s="7" t="s">
        <v>39</v>
      </c>
      <c r="N14" s="7" t="s">
        <v>40</v>
      </c>
      <c r="O14" s="7" t="s">
        <v>41</v>
      </c>
    </row>
    <row r="15" spans="2:15" x14ac:dyDescent="0.25">
      <c r="B15" s="7">
        <v>1</v>
      </c>
      <c r="C15" s="38"/>
      <c r="D15" s="38"/>
      <c r="E15" s="38"/>
      <c r="F15" s="38"/>
      <c r="G15" s="40" t="s">
        <v>0</v>
      </c>
      <c r="H15" s="38"/>
      <c r="I15" s="40" t="s">
        <v>0</v>
      </c>
      <c r="J15" s="38"/>
      <c r="K15" s="18" t="str">
        <f>IFERROR(BusinessActivities32[[#This Row],[LIKELIHOOD]]*BusinessActivities32[[#This Row],[IMPACT]],"Calculated")</f>
        <v>Calculated</v>
      </c>
      <c r="L15" s="18" t="str">
        <f t="shared" ref="L15:L34" si="0">IF(K15="Calculated", "Calculated", IF(K15&gt;11,"HIGH",IF(K15&gt;4,"MEDIUM","LOW")))</f>
        <v>Calculated</v>
      </c>
      <c r="M15" s="39"/>
      <c r="N15" s="39"/>
      <c r="O15" s="39"/>
    </row>
    <row r="16" spans="2:15" x14ac:dyDescent="0.25">
      <c r="B16" s="7">
        <v>2</v>
      </c>
      <c r="C16" s="38"/>
      <c r="D16" s="38"/>
      <c r="E16" s="38"/>
      <c r="F16" s="38"/>
      <c r="G16" s="40" t="s">
        <v>0</v>
      </c>
      <c r="H16" s="38"/>
      <c r="I16" s="40" t="s">
        <v>0</v>
      </c>
      <c r="J16" s="38"/>
      <c r="K16" s="18" t="str">
        <f>IFERROR(BusinessActivities32[[#This Row],[LIKELIHOOD]]*BusinessActivities32[[#This Row],[IMPACT]],"Calculated")</f>
        <v>Calculated</v>
      </c>
      <c r="L16" s="18" t="str">
        <f t="shared" si="0"/>
        <v>Calculated</v>
      </c>
      <c r="M16" s="39"/>
      <c r="N16" s="39"/>
      <c r="O16" s="39"/>
    </row>
    <row r="17" spans="2:15" x14ac:dyDescent="0.25">
      <c r="B17" s="7">
        <v>3</v>
      </c>
      <c r="C17" s="38"/>
      <c r="D17" s="38"/>
      <c r="E17" s="38"/>
      <c r="F17" s="38"/>
      <c r="G17" s="40" t="s">
        <v>0</v>
      </c>
      <c r="H17" s="38"/>
      <c r="I17" s="40" t="s">
        <v>0</v>
      </c>
      <c r="J17" s="38"/>
      <c r="K17" s="18" t="str">
        <f>IFERROR(BusinessActivities32[[#This Row],[LIKELIHOOD]]*BusinessActivities32[[#This Row],[IMPACT]],"Calculated")</f>
        <v>Calculated</v>
      </c>
      <c r="L17" s="18" t="str">
        <f t="shared" si="0"/>
        <v>Calculated</v>
      </c>
      <c r="M17" s="39"/>
      <c r="N17" s="39"/>
      <c r="O17" s="39"/>
    </row>
    <row r="18" spans="2:15" x14ac:dyDescent="0.25">
      <c r="B18" s="7">
        <v>4</v>
      </c>
      <c r="C18" s="38"/>
      <c r="D18" s="38"/>
      <c r="E18" s="7"/>
      <c r="F18" s="7"/>
      <c r="G18" s="40" t="s">
        <v>0</v>
      </c>
      <c r="H18" s="7"/>
      <c r="I18" s="40" t="s">
        <v>0</v>
      </c>
      <c r="J18" s="7"/>
      <c r="K18" s="18" t="str">
        <f>IFERROR(BusinessActivities32[[#This Row],[LIKELIHOOD]]*BusinessActivities32[[#This Row],[IMPACT]],"Calculated")</f>
        <v>Calculated</v>
      </c>
      <c r="L18" s="18" t="str">
        <f t="shared" si="0"/>
        <v>Calculated</v>
      </c>
      <c r="M18" s="7"/>
      <c r="N18" s="7"/>
      <c r="O18" s="7"/>
    </row>
    <row r="19" spans="2:15" x14ac:dyDescent="0.25">
      <c r="B19" s="7">
        <v>5</v>
      </c>
      <c r="C19" s="38"/>
      <c r="D19" s="38"/>
      <c r="E19" s="7"/>
      <c r="F19" s="7"/>
      <c r="G19" s="40" t="s">
        <v>0</v>
      </c>
      <c r="H19" s="7"/>
      <c r="I19" s="40" t="s">
        <v>0</v>
      </c>
      <c r="J19" s="7"/>
      <c r="K19" s="18" t="str">
        <f>IFERROR(BusinessActivities32[[#This Row],[LIKELIHOOD]]*BusinessActivities32[[#This Row],[IMPACT]],"Calculated")</f>
        <v>Calculated</v>
      </c>
      <c r="L19" s="18" t="str">
        <f t="shared" si="0"/>
        <v>Calculated</v>
      </c>
      <c r="M19" s="7"/>
      <c r="N19" s="7"/>
      <c r="O19" s="7"/>
    </row>
    <row r="20" spans="2:15" x14ac:dyDescent="0.25">
      <c r="B20" s="7">
        <v>6</v>
      </c>
      <c r="C20" s="38"/>
      <c r="D20" s="38"/>
      <c r="E20" s="7"/>
      <c r="F20" s="7"/>
      <c r="G20" s="40" t="s">
        <v>0</v>
      </c>
      <c r="H20" s="7"/>
      <c r="I20" s="40" t="s">
        <v>0</v>
      </c>
      <c r="J20" s="7"/>
      <c r="K20" s="18" t="str">
        <f>IFERROR(BusinessActivities32[[#This Row],[LIKELIHOOD]]*BusinessActivities32[[#This Row],[IMPACT]],"Calculated")</f>
        <v>Calculated</v>
      </c>
      <c r="L20" s="18" t="str">
        <f t="shared" si="0"/>
        <v>Calculated</v>
      </c>
      <c r="M20" s="7"/>
      <c r="N20" s="7"/>
      <c r="O20" s="7"/>
    </row>
    <row r="21" spans="2:15" x14ac:dyDescent="0.25">
      <c r="B21" s="7">
        <v>7</v>
      </c>
      <c r="C21" s="7"/>
      <c r="D21" s="7"/>
      <c r="E21" s="7"/>
      <c r="F21" s="7"/>
      <c r="G21" s="40" t="s">
        <v>0</v>
      </c>
      <c r="H21" s="7"/>
      <c r="I21" s="40" t="s">
        <v>0</v>
      </c>
      <c r="J21" s="7"/>
      <c r="K21" s="18" t="str">
        <f>IFERROR(BusinessActivities32[[#This Row],[LIKELIHOOD]]*BusinessActivities32[[#This Row],[IMPACT]],"Calculated")</f>
        <v>Calculated</v>
      </c>
      <c r="L21" s="18" t="str">
        <f t="shared" si="0"/>
        <v>Calculated</v>
      </c>
      <c r="M21" s="7"/>
      <c r="N21" s="7"/>
      <c r="O21" s="7"/>
    </row>
    <row r="22" spans="2:15" x14ac:dyDescent="0.25">
      <c r="B22" s="7">
        <v>8</v>
      </c>
      <c r="C22" s="7"/>
      <c r="D22" s="7"/>
      <c r="E22" s="7"/>
      <c r="F22" s="7"/>
      <c r="G22" s="40" t="s">
        <v>0</v>
      </c>
      <c r="H22" s="7"/>
      <c r="I22" s="40" t="s">
        <v>0</v>
      </c>
      <c r="J22" s="7"/>
      <c r="K22" s="18" t="str">
        <f>IFERROR(BusinessActivities32[[#This Row],[LIKELIHOOD]]*BusinessActivities32[[#This Row],[IMPACT]],"Calculated")</f>
        <v>Calculated</v>
      </c>
      <c r="L22" s="18" t="str">
        <f t="shared" si="0"/>
        <v>Calculated</v>
      </c>
      <c r="M22" s="7"/>
      <c r="N22" s="7"/>
      <c r="O22" s="7"/>
    </row>
    <row r="23" spans="2:15" x14ac:dyDescent="0.25">
      <c r="B23" s="7">
        <v>9</v>
      </c>
      <c r="C23" s="7"/>
      <c r="D23" s="7"/>
      <c r="E23" s="7"/>
      <c r="F23" s="7"/>
      <c r="G23" s="40" t="s">
        <v>0</v>
      </c>
      <c r="H23" s="7"/>
      <c r="I23" s="40" t="s">
        <v>0</v>
      </c>
      <c r="J23" s="7"/>
      <c r="K23" s="18" t="str">
        <f>IFERROR(BusinessActivities32[[#This Row],[LIKELIHOOD]]*BusinessActivities32[[#This Row],[IMPACT]],"Calculated")</f>
        <v>Calculated</v>
      </c>
      <c r="L23" s="18" t="str">
        <f t="shared" si="0"/>
        <v>Calculated</v>
      </c>
      <c r="M23" s="7"/>
      <c r="N23" s="7"/>
      <c r="O23" s="7"/>
    </row>
    <row r="24" spans="2:15" x14ac:dyDescent="0.25">
      <c r="B24" s="7">
        <v>10</v>
      </c>
      <c r="C24" s="7"/>
      <c r="D24" s="7"/>
      <c r="E24" s="7"/>
      <c r="F24" s="7"/>
      <c r="G24" s="40" t="s">
        <v>0</v>
      </c>
      <c r="H24" s="7"/>
      <c r="I24" s="40" t="s">
        <v>0</v>
      </c>
      <c r="J24" s="7"/>
      <c r="K24" s="18" t="str">
        <f>IFERROR(BusinessActivities32[[#This Row],[LIKELIHOOD]]*BusinessActivities32[[#This Row],[IMPACT]],"Calculated")</f>
        <v>Calculated</v>
      </c>
      <c r="L24" s="18" t="str">
        <f t="shared" si="0"/>
        <v>Calculated</v>
      </c>
      <c r="M24" s="7"/>
      <c r="N24" s="7"/>
      <c r="O24" s="7"/>
    </row>
    <row r="25" spans="2:15" x14ac:dyDescent="0.25">
      <c r="B25" s="7">
        <v>11</v>
      </c>
      <c r="C25" s="7"/>
      <c r="D25" s="7"/>
      <c r="E25" s="7"/>
      <c r="F25" s="7"/>
      <c r="G25" s="40" t="s">
        <v>0</v>
      </c>
      <c r="H25" s="7"/>
      <c r="I25" s="40" t="s">
        <v>0</v>
      </c>
      <c r="J25" s="7"/>
      <c r="K25" s="18" t="str">
        <f>IFERROR(BusinessActivities32[[#This Row],[LIKELIHOOD]]*BusinessActivities32[[#This Row],[IMPACT]],"Calculated")</f>
        <v>Calculated</v>
      </c>
      <c r="L25" s="18" t="str">
        <f t="shared" si="0"/>
        <v>Calculated</v>
      </c>
      <c r="M25" s="7"/>
      <c r="N25" s="7"/>
      <c r="O25" s="7"/>
    </row>
    <row r="26" spans="2:15" x14ac:dyDescent="0.25">
      <c r="B26" s="7">
        <v>12</v>
      </c>
      <c r="C26" s="7"/>
      <c r="D26" s="7"/>
      <c r="E26" s="7"/>
      <c r="F26" s="7"/>
      <c r="G26" s="40" t="s">
        <v>0</v>
      </c>
      <c r="H26" s="7"/>
      <c r="I26" s="40" t="s">
        <v>0</v>
      </c>
      <c r="J26" s="7"/>
      <c r="K26" s="18" t="str">
        <f>IFERROR(BusinessActivities32[[#This Row],[LIKELIHOOD]]*BusinessActivities32[[#This Row],[IMPACT]],"Calculated")</f>
        <v>Calculated</v>
      </c>
      <c r="L26" s="18" t="str">
        <f t="shared" si="0"/>
        <v>Calculated</v>
      </c>
      <c r="M26" s="7"/>
      <c r="N26" s="7"/>
      <c r="O26" s="7"/>
    </row>
    <row r="27" spans="2:15" x14ac:dyDescent="0.25">
      <c r="B27" s="7">
        <v>13</v>
      </c>
      <c r="C27" s="7"/>
      <c r="D27" s="7"/>
      <c r="E27" s="7"/>
      <c r="F27" s="7"/>
      <c r="G27" s="40" t="s">
        <v>0</v>
      </c>
      <c r="H27" s="7"/>
      <c r="I27" s="40" t="s">
        <v>0</v>
      </c>
      <c r="J27" s="7"/>
      <c r="K27" s="18" t="str">
        <f>IFERROR(BusinessActivities32[[#This Row],[LIKELIHOOD]]*BusinessActivities32[[#This Row],[IMPACT]],"Calculated")</f>
        <v>Calculated</v>
      </c>
      <c r="L27" s="18" t="str">
        <f t="shared" si="0"/>
        <v>Calculated</v>
      </c>
      <c r="M27" s="7"/>
      <c r="N27" s="7"/>
      <c r="O27" s="7"/>
    </row>
    <row r="28" spans="2:15" x14ac:dyDescent="0.25">
      <c r="B28" s="7">
        <v>14</v>
      </c>
      <c r="C28" s="7"/>
      <c r="D28" s="7"/>
      <c r="E28" s="7"/>
      <c r="F28" s="7"/>
      <c r="G28" s="40" t="s">
        <v>0</v>
      </c>
      <c r="H28" s="7"/>
      <c r="I28" s="40" t="s">
        <v>0</v>
      </c>
      <c r="J28" s="7"/>
      <c r="K28" s="18" t="str">
        <f>IFERROR(BusinessActivities32[[#This Row],[LIKELIHOOD]]*BusinessActivities32[[#This Row],[IMPACT]],"Calculated")</f>
        <v>Calculated</v>
      </c>
      <c r="L28" s="18" t="str">
        <f t="shared" si="0"/>
        <v>Calculated</v>
      </c>
      <c r="M28" s="7"/>
      <c r="N28" s="7"/>
      <c r="O28" s="7"/>
    </row>
    <row r="29" spans="2:15" x14ac:dyDescent="0.25">
      <c r="B29" s="7">
        <v>15</v>
      </c>
      <c r="C29" s="7"/>
      <c r="D29" s="7"/>
      <c r="E29" s="7"/>
      <c r="F29" s="7"/>
      <c r="G29" s="40" t="s">
        <v>0</v>
      </c>
      <c r="H29" s="7"/>
      <c r="I29" s="40" t="s">
        <v>0</v>
      </c>
      <c r="J29" s="7"/>
      <c r="K29" s="18" t="str">
        <f>IFERROR(BusinessActivities32[[#This Row],[LIKELIHOOD]]*BusinessActivities32[[#This Row],[IMPACT]],"Calculated")</f>
        <v>Calculated</v>
      </c>
      <c r="L29" s="18" t="str">
        <f t="shared" si="0"/>
        <v>Calculated</v>
      </c>
      <c r="M29" s="7"/>
      <c r="N29" s="7"/>
      <c r="O29" s="7"/>
    </row>
    <row r="30" spans="2:15" x14ac:dyDescent="0.25">
      <c r="B30" s="7">
        <v>16</v>
      </c>
      <c r="C30" s="7"/>
      <c r="D30" s="7"/>
      <c r="E30" s="7"/>
      <c r="F30" s="7"/>
      <c r="G30" s="40" t="s">
        <v>0</v>
      </c>
      <c r="H30" s="7"/>
      <c r="I30" s="40" t="s">
        <v>0</v>
      </c>
      <c r="J30" s="7"/>
      <c r="K30" s="18" t="str">
        <f>IFERROR(BusinessActivities32[[#This Row],[LIKELIHOOD]]*BusinessActivities32[[#This Row],[IMPACT]],"Calculated")</f>
        <v>Calculated</v>
      </c>
      <c r="L30" s="18" t="str">
        <f t="shared" si="0"/>
        <v>Calculated</v>
      </c>
      <c r="M30" s="7"/>
      <c r="N30" s="7"/>
      <c r="O30" s="7"/>
    </row>
    <row r="31" spans="2:15" x14ac:dyDescent="0.25">
      <c r="B31" s="7">
        <v>17</v>
      </c>
      <c r="C31" s="7"/>
      <c r="D31" s="7"/>
      <c r="E31" s="7"/>
      <c r="F31" s="7"/>
      <c r="G31" s="40" t="s">
        <v>0</v>
      </c>
      <c r="H31" s="7"/>
      <c r="I31" s="40" t="s">
        <v>0</v>
      </c>
      <c r="J31" s="7"/>
      <c r="K31" s="18" t="str">
        <f>IFERROR(BusinessActivities32[[#This Row],[LIKELIHOOD]]*BusinessActivities32[[#This Row],[IMPACT]],"Calculated")</f>
        <v>Calculated</v>
      </c>
      <c r="L31" s="18" t="str">
        <f t="shared" si="0"/>
        <v>Calculated</v>
      </c>
      <c r="M31" s="7"/>
      <c r="N31" s="7"/>
      <c r="O31" s="7"/>
    </row>
    <row r="32" spans="2:15" x14ac:dyDescent="0.25">
      <c r="B32" s="7">
        <v>18</v>
      </c>
      <c r="C32" s="7"/>
      <c r="D32" s="7"/>
      <c r="E32" s="7"/>
      <c r="F32" s="7"/>
      <c r="G32" s="40" t="s">
        <v>0</v>
      </c>
      <c r="H32" s="7"/>
      <c r="I32" s="40" t="s">
        <v>0</v>
      </c>
      <c r="J32" s="7"/>
      <c r="K32" s="18" t="str">
        <f>IFERROR(BusinessActivities32[[#This Row],[LIKELIHOOD]]*BusinessActivities32[[#This Row],[IMPACT]],"Calculated")</f>
        <v>Calculated</v>
      </c>
      <c r="L32" s="18" t="str">
        <f t="shared" si="0"/>
        <v>Calculated</v>
      </c>
      <c r="M32" s="7"/>
      <c r="N32" s="7"/>
      <c r="O32" s="7"/>
    </row>
    <row r="33" spans="2:15" x14ac:dyDescent="0.25">
      <c r="B33" s="7">
        <v>19</v>
      </c>
      <c r="C33" s="7"/>
      <c r="D33" s="7"/>
      <c r="E33" s="7"/>
      <c r="F33" s="7"/>
      <c r="G33" s="40" t="s">
        <v>0</v>
      </c>
      <c r="H33" s="7"/>
      <c r="I33" s="40" t="s">
        <v>0</v>
      </c>
      <c r="J33" s="7"/>
      <c r="K33" s="18" t="str">
        <f>IFERROR(BusinessActivities32[[#This Row],[LIKELIHOOD]]*BusinessActivities32[[#This Row],[IMPACT]],"Calculated")</f>
        <v>Calculated</v>
      </c>
      <c r="L33" s="18" t="str">
        <f t="shared" si="0"/>
        <v>Calculated</v>
      </c>
      <c r="M33" s="7"/>
      <c r="N33" s="7"/>
      <c r="O33" s="7"/>
    </row>
    <row r="34" spans="2:15" x14ac:dyDescent="0.25">
      <c r="B34" s="7">
        <v>20</v>
      </c>
      <c r="C34" s="7"/>
      <c r="D34" s="7"/>
      <c r="E34" s="7"/>
      <c r="F34" s="7"/>
      <c r="G34" s="40" t="s">
        <v>0</v>
      </c>
      <c r="H34" s="7"/>
      <c r="I34" s="40" t="s">
        <v>0</v>
      </c>
      <c r="J34" s="7"/>
      <c r="K34" s="18" t="str">
        <f>IFERROR(BusinessActivities32[[#This Row],[LIKELIHOOD]]*BusinessActivities32[[#This Row],[IMPACT]],"Calculated")</f>
        <v>Calculated</v>
      </c>
      <c r="L34" s="18" t="str">
        <f t="shared" si="0"/>
        <v>Calculated</v>
      </c>
      <c r="M34" s="7"/>
      <c r="N34" s="7"/>
      <c r="O34" s="7"/>
    </row>
  </sheetData>
  <conditionalFormatting sqref="L16:L34">
    <cfRule type="containsText" priority="5" operator="containsText" text="Calculated">
      <formula>NOT(ISERROR(SEARCH("Calculated",L16)))</formula>
    </cfRule>
    <cfRule type="containsText" dxfId="101" priority="6" operator="containsText" text="LOW">
      <formula>NOT(ISERROR(SEARCH("LOW",L16)))</formula>
    </cfRule>
    <cfRule type="containsText" dxfId="100" priority="7" operator="containsText" text="MEDIUM">
      <formula>NOT(ISERROR(SEARCH("MEDIUM",L16)))</formula>
    </cfRule>
    <cfRule type="containsText" dxfId="99" priority="8" operator="containsText" text="HIGH">
      <formula>NOT(ISERROR(SEARCH("HIGH",L16)))</formula>
    </cfRule>
  </conditionalFormatting>
  <conditionalFormatting sqref="L15">
    <cfRule type="containsText" priority="1" operator="containsText" text="Calculated">
      <formula>NOT(ISERROR(SEARCH("Calculated",L15)))</formula>
    </cfRule>
    <cfRule type="containsText" dxfId="98" priority="2" operator="containsText" text="LOW">
      <formula>NOT(ISERROR(SEARCH("LOW",L15)))</formula>
    </cfRule>
    <cfRule type="containsText" dxfId="97" priority="3" operator="containsText" text="MEDIUM">
      <formula>NOT(ISERROR(SEARCH("MEDIUM",L15)))</formula>
    </cfRule>
    <cfRule type="containsText" dxfId="96" priority="4" operator="containsText" text="HIGH">
      <formula>NOT(ISERROR(SEARCH("HIGH",L15)))</formula>
    </cfRule>
  </conditionalFormatting>
  <dataValidations count="1">
    <dataValidation type="list" allowBlank="1" showInputMessage="1" showErrorMessage="1" sqref="G15:G34 I15:I34" xr:uid="{E7FA9079-7A90-4FCC-AFF7-C5465FCDFF91}">
      <formula1>"Select…,1,2,3,4,5"</formula1>
    </dataValidation>
  </dataValidations>
  <pageMargins left="0.70866141732283472" right="0.70866141732283472" top="0.74803149606299213" bottom="0.74803149606299213" header="0.31496062992125984" footer="0.31496062992125984"/>
  <pageSetup paperSize="9" scale="49" fitToHeight="0" orientation="landscape" horizontalDpi="360" verticalDpi="360" r:id="rId1"/>
  <headerFooter>
    <oddFooter>&amp;L&amp;D&amp;CPage &amp;P of &amp;N&amp;R[Insert classification]</oddFoot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5A93F-9C67-4A47-92D3-E69D72B61B67}">
  <sheetPr>
    <pageSetUpPr fitToPage="1"/>
  </sheetPr>
  <dimension ref="B8:X72"/>
  <sheetViews>
    <sheetView showGridLines="0" zoomScaleNormal="100" workbookViewId="0"/>
  </sheetViews>
  <sheetFormatPr defaultRowHeight="15" x14ac:dyDescent="0.25"/>
  <cols>
    <col min="1" max="1" width="2.85546875" customWidth="1"/>
    <col min="2" max="2" width="5.7109375" customWidth="1"/>
    <col min="3" max="8" width="13.7109375" customWidth="1"/>
    <col min="9" max="16" width="9.140625" customWidth="1"/>
  </cols>
  <sheetData>
    <row r="8" spans="2:24" ht="21" x14ac:dyDescent="0.25">
      <c r="B8" s="6" t="s">
        <v>134</v>
      </c>
      <c r="C8" s="28"/>
      <c r="D8" s="28"/>
      <c r="E8" s="28"/>
      <c r="F8" s="28"/>
      <c r="G8" s="28"/>
      <c r="H8" s="28"/>
      <c r="I8" s="28"/>
      <c r="J8" s="28"/>
      <c r="K8" s="28"/>
      <c r="L8" s="28"/>
      <c r="M8" s="28"/>
      <c r="N8" s="28"/>
    </row>
    <row r="9" spans="2:24" ht="15" customHeight="1" x14ac:dyDescent="0.25">
      <c r="B9" s="44" t="s">
        <v>109</v>
      </c>
    </row>
    <row r="10" spans="2:24" ht="15" customHeight="1" x14ac:dyDescent="0.35">
      <c r="B10" s="25"/>
    </row>
    <row r="11" spans="2:24" ht="18.75" x14ac:dyDescent="0.25">
      <c r="B11" s="27" t="s">
        <v>99</v>
      </c>
      <c r="C11" s="24"/>
      <c r="D11" s="24"/>
      <c r="E11" s="24"/>
      <c r="F11" s="24"/>
      <c r="G11" s="24"/>
      <c r="H11" s="24"/>
      <c r="I11" s="24"/>
      <c r="J11" s="24"/>
      <c r="K11" s="24"/>
      <c r="L11" s="24"/>
      <c r="M11" s="24"/>
      <c r="N11" s="24"/>
      <c r="O11" s="24"/>
      <c r="P11" s="24"/>
      <c r="Q11" s="24"/>
      <c r="R11" s="24"/>
      <c r="S11" s="24"/>
      <c r="T11" s="24"/>
      <c r="U11" s="24"/>
      <c r="V11" s="24"/>
      <c r="W11" s="24"/>
      <c r="X11" s="24"/>
    </row>
    <row r="12" spans="2:24" ht="15" customHeight="1" x14ac:dyDescent="0.35">
      <c r="B12" s="25"/>
    </row>
    <row r="13" spans="2:24" ht="15" customHeight="1" x14ac:dyDescent="0.35">
      <c r="B13" s="25"/>
    </row>
    <row r="14" spans="2:24" ht="15" customHeight="1" x14ac:dyDescent="0.35">
      <c r="B14" s="25"/>
    </row>
    <row r="15" spans="2:24" ht="15" customHeight="1" x14ac:dyDescent="0.35">
      <c r="B15" s="25"/>
    </row>
    <row r="16" spans="2:24" ht="15" customHeight="1" x14ac:dyDescent="0.35">
      <c r="B16" s="25"/>
    </row>
    <row r="17" spans="2:2" ht="15" customHeight="1" x14ac:dyDescent="0.35">
      <c r="B17" s="25"/>
    </row>
    <row r="18" spans="2:2" ht="15" customHeight="1" x14ac:dyDescent="0.35">
      <c r="B18" s="25"/>
    </row>
    <row r="19" spans="2:2" ht="15" customHeight="1" x14ac:dyDescent="0.35">
      <c r="B19" s="25"/>
    </row>
    <row r="20" spans="2:2" ht="15" customHeight="1" x14ac:dyDescent="0.35">
      <c r="B20" s="25"/>
    </row>
    <row r="21" spans="2:2" ht="15" customHeight="1" x14ac:dyDescent="0.35">
      <c r="B21" s="25"/>
    </row>
    <row r="22" spans="2:2" ht="15" customHeight="1" x14ac:dyDescent="0.35">
      <c r="B22" s="25"/>
    </row>
    <row r="23" spans="2:2" ht="15" customHeight="1" x14ac:dyDescent="0.35">
      <c r="B23" s="25"/>
    </row>
    <row r="24" spans="2:2" ht="15" customHeight="1" x14ac:dyDescent="0.35">
      <c r="B24" s="25"/>
    </row>
    <row r="25" spans="2:2" ht="15" customHeight="1" x14ac:dyDescent="0.35">
      <c r="B25" s="25"/>
    </row>
    <row r="26" spans="2:2" ht="15" customHeight="1" x14ac:dyDescent="0.35">
      <c r="B26" s="25"/>
    </row>
    <row r="27" spans="2:2" ht="15" customHeight="1" x14ac:dyDescent="0.35">
      <c r="B27" s="25"/>
    </row>
    <row r="28" spans="2:2" ht="15" customHeight="1" x14ac:dyDescent="0.35">
      <c r="B28" s="25"/>
    </row>
    <row r="29" spans="2:2" ht="15" customHeight="1" x14ac:dyDescent="0.35">
      <c r="B29" s="25"/>
    </row>
    <row r="30" spans="2:2" ht="15" customHeight="1" x14ac:dyDescent="0.35">
      <c r="B30" s="25"/>
    </row>
    <row r="31" spans="2:2" ht="15" customHeight="1" x14ac:dyDescent="0.35">
      <c r="B31" s="25"/>
    </row>
    <row r="32" spans="2:2" ht="15" customHeight="1" x14ac:dyDescent="0.35">
      <c r="B32" s="25"/>
    </row>
    <row r="33" spans="2:2" ht="15" customHeight="1" x14ac:dyDescent="0.35">
      <c r="B33" s="25"/>
    </row>
    <row r="34" spans="2:2" ht="15" customHeight="1" x14ac:dyDescent="0.35">
      <c r="B34" s="25"/>
    </row>
    <row r="35" spans="2:2" ht="15" customHeight="1" x14ac:dyDescent="0.35">
      <c r="B35" s="25"/>
    </row>
    <row r="36" spans="2:2" ht="15" customHeight="1" x14ac:dyDescent="0.35">
      <c r="B36" s="25"/>
    </row>
    <row r="37" spans="2:2" ht="15" customHeight="1" x14ac:dyDescent="0.35">
      <c r="B37" s="25"/>
    </row>
    <row r="38" spans="2:2" ht="15" customHeight="1" x14ac:dyDescent="0.35">
      <c r="B38" s="25"/>
    </row>
    <row r="39" spans="2:2" ht="15" customHeight="1" x14ac:dyDescent="0.35">
      <c r="B39" s="25"/>
    </row>
    <row r="40" spans="2:2" ht="15" customHeight="1" x14ac:dyDescent="0.35">
      <c r="B40" s="25"/>
    </row>
    <row r="41" spans="2:2" ht="15" customHeight="1" x14ac:dyDescent="0.35">
      <c r="B41" s="25"/>
    </row>
    <row r="42" spans="2:2" ht="15" customHeight="1" x14ac:dyDescent="0.35">
      <c r="B42" s="25"/>
    </row>
    <row r="43" spans="2:2" ht="15" customHeight="1" x14ac:dyDescent="0.35">
      <c r="B43" s="25"/>
    </row>
    <row r="44" spans="2:2" ht="15" customHeight="1" x14ac:dyDescent="0.35">
      <c r="B44" s="25"/>
    </row>
    <row r="45" spans="2:2" ht="15" customHeight="1" x14ac:dyDescent="0.35">
      <c r="B45" s="25"/>
    </row>
    <row r="46" spans="2:2" ht="15" customHeight="1" x14ac:dyDescent="0.35">
      <c r="B46" s="25"/>
    </row>
    <row r="47" spans="2:2" ht="15" customHeight="1" x14ac:dyDescent="0.35">
      <c r="B47" s="25"/>
    </row>
    <row r="48" spans="2:2" ht="15" customHeight="1" x14ac:dyDescent="0.35">
      <c r="B48" s="25"/>
    </row>
    <row r="49" spans="2:24" ht="15" customHeight="1" x14ac:dyDescent="0.35">
      <c r="B49" s="25"/>
    </row>
    <row r="50" spans="2:24" ht="15" customHeight="1" x14ac:dyDescent="0.35">
      <c r="B50" s="25"/>
    </row>
    <row r="51" spans="2:24" ht="15" customHeight="1" x14ac:dyDescent="0.35">
      <c r="B51" s="25"/>
    </row>
    <row r="52" spans="2:24" ht="15" customHeight="1" x14ac:dyDescent="0.35">
      <c r="B52" s="25"/>
    </row>
    <row r="53" spans="2:24" ht="15" customHeight="1" x14ac:dyDescent="0.35">
      <c r="B53" s="25"/>
    </row>
    <row r="54" spans="2:24" ht="15" customHeight="1" x14ac:dyDescent="0.35">
      <c r="B54" s="25"/>
    </row>
    <row r="56" spans="2:24" ht="18.75" x14ac:dyDescent="0.3">
      <c r="B56" s="26" t="s">
        <v>103</v>
      </c>
      <c r="C56" s="23"/>
      <c r="D56" s="23"/>
      <c r="E56" s="23"/>
      <c r="F56" s="23"/>
      <c r="G56" s="23"/>
      <c r="H56" s="23"/>
      <c r="I56" s="24"/>
      <c r="J56" s="26"/>
      <c r="K56" s="26"/>
      <c r="L56" s="23"/>
      <c r="M56" s="26"/>
      <c r="N56" s="23"/>
      <c r="O56" s="24"/>
      <c r="P56" s="24"/>
      <c r="Q56" s="24"/>
      <c r="R56" s="24"/>
      <c r="S56" s="24"/>
      <c r="T56" s="24"/>
      <c r="U56" s="24"/>
      <c r="V56" s="24"/>
      <c r="W56" s="24"/>
      <c r="X56" s="24"/>
    </row>
    <row r="57" spans="2:24" ht="18.75" x14ac:dyDescent="0.25">
      <c r="B57" s="29"/>
      <c r="C57" s="28"/>
      <c r="D57" s="28"/>
      <c r="E57" s="28"/>
      <c r="F57" s="28"/>
      <c r="G57" s="28"/>
      <c r="H57" s="28"/>
    </row>
    <row r="58" spans="2:24" ht="36" customHeight="1" x14ac:dyDescent="0.25">
      <c r="B58" s="48" t="s">
        <v>77</v>
      </c>
      <c r="C58" s="48"/>
      <c r="D58" s="48"/>
      <c r="E58" s="48"/>
      <c r="F58" s="48"/>
      <c r="G58" s="48"/>
      <c r="H58" s="48"/>
      <c r="K58" s="1"/>
    </row>
    <row r="59" spans="2:24" ht="15" customHeight="1" x14ac:dyDescent="0.25">
      <c r="B59" s="49" t="s">
        <v>104</v>
      </c>
      <c r="G59" s="30"/>
      <c r="H59" s="30"/>
      <c r="K59" s="6"/>
      <c r="T59" s="31"/>
    </row>
    <row r="60" spans="2:24" ht="39.950000000000003" customHeight="1" thickBot="1" x14ac:dyDescent="0.3">
      <c r="B60" s="49"/>
      <c r="C60" s="50" t="s">
        <v>116</v>
      </c>
      <c r="D60" s="50"/>
      <c r="E60" s="50"/>
      <c r="F60" s="50"/>
      <c r="G60" s="50"/>
      <c r="H60" s="50"/>
    </row>
    <row r="61" spans="2:24" ht="39.950000000000003" customHeight="1" thickTop="1" thickBot="1" x14ac:dyDescent="0.3">
      <c r="B61" s="49"/>
      <c r="C61" s="32"/>
      <c r="D61" s="33" t="s">
        <v>112</v>
      </c>
      <c r="E61" s="33" t="s">
        <v>113</v>
      </c>
      <c r="F61" s="33" t="s">
        <v>91</v>
      </c>
      <c r="G61" s="33" t="s">
        <v>114</v>
      </c>
      <c r="H61" s="33" t="s">
        <v>115</v>
      </c>
    </row>
    <row r="62" spans="2:24" ht="39.950000000000003" customHeight="1" thickTop="1" thickBot="1" x14ac:dyDescent="0.3">
      <c r="B62" s="49"/>
      <c r="C62" s="33" t="s">
        <v>80</v>
      </c>
      <c r="D62" s="34" t="s">
        <v>81</v>
      </c>
      <c r="E62" s="34" t="s">
        <v>82</v>
      </c>
      <c r="F62" s="35" t="s">
        <v>83</v>
      </c>
      <c r="G62" s="35" t="s">
        <v>84</v>
      </c>
      <c r="H62" s="35" t="s">
        <v>85</v>
      </c>
    </row>
    <row r="63" spans="2:24" ht="39.950000000000003" customHeight="1" thickTop="1" thickBot="1" x14ac:dyDescent="0.3">
      <c r="B63" s="49"/>
      <c r="C63" s="33" t="s">
        <v>86</v>
      </c>
      <c r="D63" s="36" t="s">
        <v>87</v>
      </c>
      <c r="E63" s="34" t="s">
        <v>88</v>
      </c>
      <c r="F63" s="35" t="s">
        <v>89</v>
      </c>
      <c r="G63" s="35" t="s">
        <v>90</v>
      </c>
      <c r="H63" s="35" t="s">
        <v>84</v>
      </c>
    </row>
    <row r="64" spans="2:24" ht="39.950000000000003" customHeight="1" thickTop="1" thickBot="1" x14ac:dyDescent="0.3">
      <c r="B64" s="49"/>
      <c r="C64" s="33" t="s">
        <v>91</v>
      </c>
      <c r="D64" s="36" t="s">
        <v>92</v>
      </c>
      <c r="E64" s="34" t="s">
        <v>93</v>
      </c>
      <c r="F64" s="34" t="s">
        <v>94</v>
      </c>
      <c r="G64" s="35" t="s">
        <v>89</v>
      </c>
      <c r="H64" s="35" t="s">
        <v>83</v>
      </c>
    </row>
    <row r="65" spans="2:14" ht="39.950000000000003" customHeight="1" thickTop="1" thickBot="1" x14ac:dyDescent="0.3">
      <c r="B65" s="49"/>
      <c r="C65" s="33" t="s">
        <v>95</v>
      </c>
      <c r="D65" s="36" t="s">
        <v>96</v>
      </c>
      <c r="E65" s="36" t="s">
        <v>87</v>
      </c>
      <c r="F65" s="34" t="s">
        <v>93</v>
      </c>
      <c r="G65" s="34" t="s">
        <v>88</v>
      </c>
      <c r="H65" s="34" t="s">
        <v>82</v>
      </c>
    </row>
    <row r="66" spans="2:14" ht="39.950000000000003" customHeight="1" thickTop="1" thickBot="1" x14ac:dyDescent="0.3">
      <c r="B66" s="49"/>
      <c r="C66" s="33" t="s">
        <v>97</v>
      </c>
      <c r="D66" s="36" t="s">
        <v>98</v>
      </c>
      <c r="E66" s="36" t="s">
        <v>96</v>
      </c>
      <c r="F66" s="36" t="s">
        <v>92</v>
      </c>
      <c r="G66" s="36" t="s">
        <v>87</v>
      </c>
      <c r="H66" s="34" t="s">
        <v>81</v>
      </c>
    </row>
    <row r="67" spans="2:14" ht="32.25" customHeight="1" thickTop="1" x14ac:dyDescent="0.25"/>
    <row r="71" spans="2:14" ht="20.100000000000001" customHeight="1" x14ac:dyDescent="0.3">
      <c r="I71" s="37"/>
      <c r="K71" s="28"/>
      <c r="L71" s="28"/>
      <c r="M71" s="28"/>
      <c r="N71" s="28"/>
    </row>
    <row r="72" spans="2:14" ht="15" customHeight="1" x14ac:dyDescent="0.25">
      <c r="I72" s="3"/>
      <c r="J72" s="3"/>
    </row>
  </sheetData>
  <mergeCells count="3">
    <mergeCell ref="B58:H58"/>
    <mergeCell ref="B59:B66"/>
    <mergeCell ref="C60:H60"/>
  </mergeCells>
  <pageMargins left="0.23622047244094491" right="0.23622047244094491" top="0.39370078740157483" bottom="0.39370078740157483" header="0.19685039370078741" footer="0.19685039370078741"/>
  <pageSetup paperSize="9" scale="46" orientation="landscape"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891DB-D89C-4CE0-A4A6-3451E31105E5}">
  <sheetPr>
    <pageSetUpPr fitToPage="1"/>
  </sheetPr>
  <dimension ref="B2:D16"/>
  <sheetViews>
    <sheetView showGridLines="0" workbookViewId="0"/>
  </sheetViews>
  <sheetFormatPr defaultRowHeight="15" x14ac:dyDescent="0.25"/>
  <cols>
    <col min="1" max="1" width="2.85546875" style="3" customWidth="1"/>
    <col min="2" max="2" width="13.5703125" style="3" customWidth="1"/>
    <col min="3" max="3" width="18.85546875" style="3" customWidth="1"/>
    <col min="4" max="4" width="59.42578125" style="3" customWidth="1"/>
    <col min="5" max="5" width="27.28515625" style="3" customWidth="1"/>
    <col min="6" max="6" width="21.5703125" style="3" customWidth="1"/>
    <col min="7" max="7" width="17.28515625" style="3" customWidth="1"/>
    <col min="8" max="8" width="16.85546875" style="3" customWidth="1"/>
    <col min="9" max="16384" width="9.140625" style="3"/>
  </cols>
  <sheetData>
    <row r="2" spans="2:4" x14ac:dyDescent="0.25">
      <c r="B2" s="4"/>
    </row>
    <row r="3" spans="2:4" x14ac:dyDescent="0.25">
      <c r="B3" s="4"/>
    </row>
    <row r="4" spans="2:4" x14ac:dyDescent="0.25">
      <c r="B4" s="4"/>
    </row>
    <row r="5" spans="2:4" x14ac:dyDescent="0.25">
      <c r="B5" s="4"/>
    </row>
    <row r="6" spans="2:4" x14ac:dyDescent="0.25">
      <c r="B6" s="4"/>
    </row>
    <row r="8" spans="2:4" ht="21" x14ac:dyDescent="0.25">
      <c r="B8" s="6" t="s">
        <v>120</v>
      </c>
      <c r="C8" s="6"/>
      <c r="D8" s="1"/>
    </row>
    <row r="9" spans="2:4" x14ac:dyDescent="0.25">
      <c r="B9" s="1" t="s">
        <v>129</v>
      </c>
      <c r="C9" s="1"/>
      <c r="D9" s="1"/>
    </row>
    <row r="10" spans="2:4" x14ac:dyDescent="0.25">
      <c r="B10" s="1"/>
      <c r="C10" s="1"/>
      <c r="D10" s="1"/>
    </row>
    <row r="11" spans="2:4" ht="30" x14ac:dyDescent="0.25">
      <c r="B11" s="46" t="s">
        <v>33</v>
      </c>
      <c r="C11" s="46" t="s">
        <v>121</v>
      </c>
      <c r="D11" s="47" t="s">
        <v>122</v>
      </c>
    </row>
    <row r="12" spans="2:4" ht="30" x14ac:dyDescent="0.25">
      <c r="B12" s="18">
        <v>1</v>
      </c>
      <c r="C12" s="45" t="s">
        <v>132</v>
      </c>
      <c r="D12" s="45" t="s">
        <v>123</v>
      </c>
    </row>
    <row r="13" spans="2:4" x14ac:dyDescent="0.25">
      <c r="B13" s="18">
        <v>2</v>
      </c>
      <c r="C13" s="45" t="s">
        <v>124</v>
      </c>
      <c r="D13" s="45" t="s">
        <v>125</v>
      </c>
    </row>
    <row r="14" spans="2:4" ht="30" x14ac:dyDescent="0.25">
      <c r="B14" s="18">
        <v>3</v>
      </c>
      <c r="C14" s="45" t="s">
        <v>56</v>
      </c>
      <c r="D14" s="45" t="s">
        <v>130</v>
      </c>
    </row>
    <row r="15" spans="2:4" ht="30" x14ac:dyDescent="0.25">
      <c r="B15" s="18">
        <v>4</v>
      </c>
      <c r="C15" s="45" t="s">
        <v>126</v>
      </c>
      <c r="D15" s="45" t="s">
        <v>131</v>
      </c>
    </row>
    <row r="16" spans="2:4" ht="30" x14ac:dyDescent="0.25">
      <c r="B16" s="18">
        <v>5</v>
      </c>
      <c r="C16" s="45" t="s">
        <v>127</v>
      </c>
      <c r="D16" s="45" t="s">
        <v>128</v>
      </c>
    </row>
  </sheetData>
  <pageMargins left="0.70866141732283472" right="0.70866141732283472" top="0.74803149606299213" bottom="0.74803149606299213" header="0.31496062992125984" footer="0.31496062992125984"/>
  <pageSetup paperSize="9" scale="97" fitToHeight="0" orientation="landscape" horizontalDpi="1200" verticalDpi="1200" r:id="rId1"/>
  <headerFooter>
    <oddFooter>&amp;L&amp;D&amp;CPage &amp;P of &amp;N&amp;R[Insert classification]</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F019F-6829-48A9-8A9D-C3DD40CDCCC8}">
  <sheetPr>
    <pageSetUpPr fitToPage="1"/>
  </sheetPr>
  <dimension ref="B2:H17"/>
  <sheetViews>
    <sheetView showGridLines="0" workbookViewId="0"/>
  </sheetViews>
  <sheetFormatPr defaultRowHeight="15" x14ac:dyDescent="0.25"/>
  <cols>
    <col min="1" max="1" width="2.85546875" style="3" customWidth="1"/>
    <col min="2" max="2" width="8.28515625" style="3" customWidth="1"/>
    <col min="3" max="3" width="13.140625" style="3" customWidth="1"/>
    <col min="4" max="4" width="29.42578125" style="3" customWidth="1"/>
    <col min="5" max="5" width="27.28515625" style="3" customWidth="1"/>
    <col min="6" max="6" width="21.5703125" style="3" customWidth="1"/>
    <col min="7" max="7" width="17.28515625" style="3" customWidth="1"/>
    <col min="8" max="8" width="16.85546875" style="3" customWidth="1"/>
    <col min="9" max="16384" width="9.140625" style="3"/>
  </cols>
  <sheetData>
    <row r="2" spans="2:8" x14ac:dyDescent="0.25">
      <c r="B2" s="4"/>
    </row>
    <row r="3" spans="2:8" x14ac:dyDescent="0.25">
      <c r="B3" s="4"/>
    </row>
    <row r="4" spans="2:8" x14ac:dyDescent="0.25">
      <c r="B4" s="4"/>
    </row>
    <row r="5" spans="2:8" x14ac:dyDescent="0.25">
      <c r="B5" s="4"/>
    </row>
    <row r="6" spans="2:8" x14ac:dyDescent="0.25">
      <c r="B6" s="4"/>
    </row>
    <row r="8" spans="2:8" ht="21" x14ac:dyDescent="0.25">
      <c r="B8" s="6" t="s">
        <v>45</v>
      </c>
      <c r="C8" s="1"/>
    </row>
    <row r="9" spans="2:8" x14ac:dyDescent="0.25">
      <c r="B9" s="3" t="s">
        <v>52</v>
      </c>
    </row>
    <row r="11" spans="2:8" ht="21" customHeight="1" x14ac:dyDescent="0.25">
      <c r="B11" s="9" t="s">
        <v>53</v>
      </c>
      <c r="C11" s="8"/>
      <c r="D11" s="9" t="s">
        <v>76</v>
      </c>
      <c r="E11" s="9"/>
      <c r="F11" s="9"/>
      <c r="G11" s="9"/>
      <c r="H11" s="9"/>
    </row>
    <row r="12" spans="2:8" ht="33" customHeight="1" x14ac:dyDescent="0.25">
      <c r="B12" s="19" t="s">
        <v>47</v>
      </c>
      <c r="C12" s="19" t="s">
        <v>46</v>
      </c>
      <c r="D12" s="19" t="s">
        <v>48</v>
      </c>
      <c r="E12" s="19" t="s">
        <v>49</v>
      </c>
      <c r="F12" s="19" t="s">
        <v>50</v>
      </c>
      <c r="G12" s="19" t="s">
        <v>51</v>
      </c>
      <c r="H12" s="19" t="s">
        <v>74</v>
      </c>
    </row>
    <row r="13" spans="2:8" x14ac:dyDescent="0.25">
      <c r="B13" s="21">
        <v>1</v>
      </c>
      <c r="C13" s="2" t="s">
        <v>54</v>
      </c>
      <c r="D13" s="2" t="s">
        <v>59</v>
      </c>
      <c r="E13" s="2" t="s">
        <v>60</v>
      </c>
      <c r="F13" s="2" t="s">
        <v>61</v>
      </c>
      <c r="G13" s="2" t="s">
        <v>54</v>
      </c>
      <c r="H13" s="20" t="s">
        <v>75</v>
      </c>
    </row>
    <row r="14" spans="2:8" ht="30" x14ac:dyDescent="0.25">
      <c r="B14" s="21">
        <v>2</v>
      </c>
      <c r="C14" s="2" t="s">
        <v>55</v>
      </c>
      <c r="D14" s="2" t="s">
        <v>62</v>
      </c>
      <c r="E14" s="2" t="s">
        <v>63</v>
      </c>
      <c r="F14" s="2" t="s">
        <v>64</v>
      </c>
      <c r="G14" s="2" t="s">
        <v>55</v>
      </c>
      <c r="H14" s="20" t="s">
        <v>75</v>
      </c>
    </row>
    <row r="15" spans="2:8" ht="30" x14ac:dyDescent="0.25">
      <c r="B15" s="21">
        <v>3</v>
      </c>
      <c r="C15" s="2" t="s">
        <v>56</v>
      </c>
      <c r="D15" s="2" t="s">
        <v>65</v>
      </c>
      <c r="E15" s="2" t="s">
        <v>66</v>
      </c>
      <c r="F15" s="2" t="s">
        <v>67</v>
      </c>
      <c r="G15" s="2" t="s">
        <v>56</v>
      </c>
      <c r="H15" s="20" t="s">
        <v>75</v>
      </c>
    </row>
    <row r="16" spans="2:8" ht="30" x14ac:dyDescent="0.25">
      <c r="B16" s="21">
        <v>4</v>
      </c>
      <c r="C16" s="2" t="s">
        <v>57</v>
      </c>
      <c r="D16" s="2" t="s">
        <v>68</v>
      </c>
      <c r="E16" s="2" t="s">
        <v>69</v>
      </c>
      <c r="F16" s="2" t="s">
        <v>70</v>
      </c>
      <c r="G16" s="2" t="s">
        <v>57</v>
      </c>
      <c r="H16" s="20" t="s">
        <v>75</v>
      </c>
    </row>
    <row r="17" spans="2:8" ht="30" x14ac:dyDescent="0.25">
      <c r="B17" s="21">
        <v>5</v>
      </c>
      <c r="C17" s="2" t="s">
        <v>58</v>
      </c>
      <c r="D17" s="2" t="s">
        <v>71</v>
      </c>
      <c r="E17" s="2" t="s">
        <v>72</v>
      </c>
      <c r="F17" s="2" t="s">
        <v>73</v>
      </c>
      <c r="G17" s="2" t="s">
        <v>58</v>
      </c>
      <c r="H17" s="20" t="s">
        <v>75</v>
      </c>
    </row>
  </sheetData>
  <phoneticPr fontId="11" type="noConversion"/>
  <pageMargins left="0.70866141732283472" right="0.70866141732283472" top="0.74803149606299213" bottom="0.74803149606299213" header="0.31496062992125984" footer="0.31496062992125984"/>
  <pageSetup paperSize="9" scale="97" fitToHeight="0" orientation="landscape" horizontalDpi="1200" verticalDpi="1200" r:id="rId1"/>
  <headerFooter>
    <oddFooter>&amp;L&amp;D&amp;CPage &amp;P of &amp;N&amp;R[Insert classification]</oddFoot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A870-938F-467F-B05F-91E117D4FC66}">
  <dimension ref="B4:C10"/>
  <sheetViews>
    <sheetView showGridLines="0" workbookViewId="0"/>
  </sheetViews>
  <sheetFormatPr defaultRowHeight="15" x14ac:dyDescent="0.25"/>
  <cols>
    <col min="1" max="1" width="2.85546875" style="1" customWidth="1"/>
    <col min="2" max="2" width="21.85546875" style="1" bestFit="1" customWidth="1"/>
    <col min="3" max="3" width="20" style="1" bestFit="1" customWidth="1"/>
    <col min="4" max="16384" width="9.140625" style="1"/>
  </cols>
  <sheetData>
    <row r="4" spans="2:3" ht="18.75" x14ac:dyDescent="0.25">
      <c r="B4" s="41" t="s">
        <v>110</v>
      </c>
    </row>
    <row r="6" spans="2:3" x14ac:dyDescent="0.25">
      <c r="B6" s="43" t="s">
        <v>38</v>
      </c>
      <c r="C6" s="43" t="s">
        <v>111</v>
      </c>
    </row>
    <row r="7" spans="2:3" x14ac:dyDescent="0.25">
      <c r="B7" s="1" t="s">
        <v>106</v>
      </c>
      <c r="C7" s="42">
        <v>20</v>
      </c>
    </row>
    <row r="8" spans="2:3" x14ac:dyDescent="0.25">
      <c r="B8"/>
      <c r="C8"/>
    </row>
    <row r="9" spans="2:3" x14ac:dyDescent="0.25">
      <c r="B9"/>
      <c r="C9"/>
    </row>
    <row r="10" spans="2:3" x14ac:dyDescent="0.25">
      <c r="B10"/>
      <c r="C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A525-6B51-4900-A885-10A6453B837F}">
  <dimension ref="B4:G13"/>
  <sheetViews>
    <sheetView showGridLines="0" workbookViewId="0"/>
  </sheetViews>
  <sheetFormatPr defaultRowHeight="15" x14ac:dyDescent="0.25"/>
  <cols>
    <col min="1" max="1" width="2.85546875" style="1" customWidth="1"/>
    <col min="2" max="2" width="16.85546875" style="1" bestFit="1" customWidth="1"/>
    <col min="3" max="3" width="21.85546875" style="1" bestFit="1" customWidth="1"/>
    <col min="4" max="4" width="12.5703125" style="1" bestFit="1" customWidth="1"/>
    <col min="5" max="5" width="5.5703125" style="1" bestFit="1" customWidth="1"/>
    <col min="6" max="6" width="10.28515625" style="1" bestFit="1" customWidth="1"/>
    <col min="7" max="7" width="10.140625" style="1" bestFit="1" customWidth="1"/>
    <col min="8" max="16384" width="9.140625" style="1"/>
  </cols>
  <sheetData>
    <row r="4" spans="2:7" ht="18.75" x14ac:dyDescent="0.25">
      <c r="B4" s="41" t="s">
        <v>101</v>
      </c>
    </row>
    <row r="6" spans="2:7" x14ac:dyDescent="0.25">
      <c r="B6" s="43" t="s">
        <v>31</v>
      </c>
      <c r="C6" s="43" t="s">
        <v>38</v>
      </c>
      <c r="D6" s="43" t="s">
        <v>108</v>
      </c>
      <c r="E6"/>
      <c r="F6"/>
      <c r="G6"/>
    </row>
    <row r="7" spans="2:7" x14ac:dyDescent="0.25">
      <c r="B7" s="1" t="s">
        <v>105</v>
      </c>
      <c r="C7" s="43" t="s">
        <v>106</v>
      </c>
      <c r="D7" s="42">
        <v>20</v>
      </c>
      <c r="E7"/>
      <c r="F7"/>
      <c r="G7"/>
    </row>
    <row r="8" spans="2:7" x14ac:dyDescent="0.25">
      <c r="B8"/>
      <c r="C8"/>
      <c r="D8"/>
      <c r="E8"/>
      <c r="F8"/>
      <c r="G8"/>
    </row>
    <row r="9" spans="2:7" x14ac:dyDescent="0.25">
      <c r="B9"/>
      <c r="C9"/>
      <c r="D9"/>
      <c r="E9"/>
      <c r="F9"/>
      <c r="G9"/>
    </row>
    <row r="10" spans="2:7" x14ac:dyDescent="0.25">
      <c r="B10"/>
      <c r="C10"/>
      <c r="D10"/>
      <c r="E10"/>
      <c r="F10"/>
      <c r="G10"/>
    </row>
    <row r="11" spans="2:7" x14ac:dyDescent="0.25">
      <c r="B11"/>
      <c r="C11"/>
      <c r="D11"/>
      <c r="E11"/>
      <c r="F11"/>
      <c r="G11"/>
    </row>
    <row r="12" spans="2:7" x14ac:dyDescent="0.25">
      <c r="B12"/>
      <c r="C12"/>
      <c r="D12"/>
      <c r="E12"/>
      <c r="F12"/>
    </row>
    <row r="13" spans="2:7" x14ac:dyDescent="0.25">
      <c r="B13"/>
      <c r="C13"/>
      <c r="D13"/>
      <c r="E13"/>
      <c r="F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0C61-6A96-4C18-A4E3-DC73642F9108}">
  <dimension ref="B4:F12"/>
  <sheetViews>
    <sheetView showGridLines="0" workbookViewId="0"/>
  </sheetViews>
  <sheetFormatPr defaultRowHeight="15" x14ac:dyDescent="0.25"/>
  <cols>
    <col min="1" max="1" width="2.85546875" style="1" customWidth="1"/>
    <col min="2" max="2" width="27.85546875" style="1" bestFit="1" customWidth="1"/>
    <col min="3" max="3" width="21.85546875" style="1" bestFit="1" customWidth="1"/>
    <col min="4" max="4" width="27.85546875" style="1" bestFit="1" customWidth="1"/>
    <col min="5" max="5" width="5.5703125" style="1" bestFit="1" customWidth="1"/>
    <col min="6" max="6" width="10.28515625" style="1" bestFit="1" customWidth="1"/>
    <col min="7" max="16384" width="9.140625" style="1"/>
  </cols>
  <sheetData>
    <row r="4" spans="2:6" ht="18.75" x14ac:dyDescent="0.25">
      <c r="B4" s="41" t="s">
        <v>100</v>
      </c>
    </row>
    <row r="6" spans="2:6" x14ac:dyDescent="0.25">
      <c r="B6" s="43" t="s">
        <v>32</v>
      </c>
      <c r="C6" s="43" t="s">
        <v>38</v>
      </c>
      <c r="D6" s="43" t="s">
        <v>107</v>
      </c>
      <c r="E6"/>
      <c r="F6"/>
    </row>
    <row r="7" spans="2:6" x14ac:dyDescent="0.25">
      <c r="B7" s="1" t="s">
        <v>105</v>
      </c>
      <c r="C7" s="43" t="s">
        <v>106</v>
      </c>
      <c r="D7" s="42">
        <v>20</v>
      </c>
      <c r="E7"/>
      <c r="F7"/>
    </row>
    <row r="8" spans="2:6" x14ac:dyDescent="0.25">
      <c r="B8"/>
      <c r="C8"/>
      <c r="D8"/>
      <c r="E8"/>
      <c r="F8"/>
    </row>
    <row r="9" spans="2:6" x14ac:dyDescent="0.25">
      <c r="B9"/>
      <c r="C9"/>
      <c r="D9"/>
      <c r="E9"/>
      <c r="F9"/>
    </row>
    <row r="10" spans="2:6" x14ac:dyDescent="0.25">
      <c r="B10"/>
      <c r="C10"/>
      <c r="D10"/>
      <c r="E10"/>
      <c r="F10"/>
    </row>
    <row r="11" spans="2:6" x14ac:dyDescent="0.25">
      <c r="B11"/>
      <c r="C11"/>
      <c r="D11"/>
      <c r="E11"/>
      <c r="F11"/>
    </row>
    <row r="12" spans="2:6" x14ac:dyDescent="0.25">
      <c r="B12"/>
      <c r="C12"/>
      <c r="D12"/>
      <c r="E12"/>
      <c r="F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4F6C-EFBE-4CF6-B36E-390D12C19B41}">
  <dimension ref="B4:F12"/>
  <sheetViews>
    <sheetView showGridLines="0" workbookViewId="0"/>
  </sheetViews>
  <sheetFormatPr defaultRowHeight="15" x14ac:dyDescent="0.25"/>
  <cols>
    <col min="1" max="1" width="2.85546875" style="1" customWidth="1"/>
    <col min="2" max="2" width="19.28515625" style="1" bestFit="1" customWidth="1"/>
    <col min="3" max="3" width="21.85546875" style="1" bestFit="1" customWidth="1"/>
    <col min="4" max="4" width="12.5703125" style="1" bestFit="1" customWidth="1"/>
    <col min="5" max="5" width="5.5703125" style="1" bestFit="1" customWidth="1"/>
    <col min="6" max="6" width="10.28515625" style="1" bestFit="1" customWidth="1"/>
    <col min="7" max="16384" width="9.140625" style="1"/>
  </cols>
  <sheetData>
    <row r="4" spans="2:6" ht="18.75" x14ac:dyDescent="0.25">
      <c r="B4" s="41" t="s">
        <v>102</v>
      </c>
    </row>
    <row r="6" spans="2:6" x14ac:dyDescent="0.25">
      <c r="B6" s="43" t="s">
        <v>40</v>
      </c>
      <c r="C6" s="43" t="s">
        <v>38</v>
      </c>
      <c r="D6" s="43" t="s">
        <v>108</v>
      </c>
      <c r="E6"/>
      <c r="F6"/>
    </row>
    <row r="7" spans="2:6" x14ac:dyDescent="0.25">
      <c r="B7" s="1" t="s">
        <v>105</v>
      </c>
      <c r="C7" s="43" t="s">
        <v>106</v>
      </c>
      <c r="D7" s="42">
        <v>20</v>
      </c>
      <c r="E7"/>
      <c r="F7"/>
    </row>
    <row r="8" spans="2:6" x14ac:dyDescent="0.25">
      <c r="B8"/>
      <c r="C8"/>
      <c r="D8"/>
      <c r="E8"/>
      <c r="F8"/>
    </row>
    <row r="9" spans="2:6" x14ac:dyDescent="0.25">
      <c r="B9"/>
      <c r="C9"/>
      <c r="D9"/>
      <c r="E9"/>
      <c r="F9"/>
    </row>
    <row r="10" spans="2:6" x14ac:dyDescent="0.25">
      <c r="B10"/>
      <c r="C10"/>
      <c r="D10"/>
      <c r="E10"/>
      <c r="F10"/>
    </row>
    <row r="11" spans="2:6" x14ac:dyDescent="0.25">
      <c r="B11"/>
      <c r="C11"/>
      <c r="D11"/>
      <c r="E11"/>
      <c r="F11"/>
    </row>
    <row r="12" spans="2:6" x14ac:dyDescent="0.25">
      <c r="B12"/>
      <c r="C12"/>
      <c r="D12"/>
      <c r="E12"/>
      <c r="F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78CA14-430D-4A5A-9C0A-B9DD4DB29663}">
  <ds:schemaRefs>
    <ds:schemaRef ds:uri="http://schemas.microsoft.com/DataMashup"/>
  </ds:schemaRefs>
</ds:datastoreItem>
</file>

<file path=customXml/itemProps2.xml><?xml version="1.0" encoding="utf-8"?>
<ds:datastoreItem xmlns:ds="http://schemas.openxmlformats.org/officeDocument/2006/customXml" ds:itemID="{70150706-064D-4DFA-8C51-D16880AEB8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8B4250-B95D-49BB-B3C5-3FC868E45619}">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f1cf04bc-9f60-4a9d-874f-9541ee77ebfe"/>
    <ds:schemaRef ds:uri="http://schemas.openxmlformats.org/package/2006/metadata/core-properties"/>
    <ds:schemaRef ds:uri="http://www.w3.org/XML/1998/namespace"/>
    <ds:schemaRef ds:uri="http://purl.org/dc/dcmitype/"/>
    <ds:schemaRef ds:uri="89244998-67c5-4bad-a13d-4acc63ad7b2f"/>
  </ds:schemaRefs>
</ds:datastoreItem>
</file>

<file path=customXml/itemProps4.xml><?xml version="1.0" encoding="utf-8"?>
<ds:datastoreItem xmlns:ds="http://schemas.openxmlformats.org/officeDocument/2006/customXml" ds:itemID="{BE29E310-ECC5-4B3B-9676-09C492D3B9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Guidance</vt:lpstr>
      <vt:lpstr>Assessment Details</vt:lpstr>
      <vt:lpstr>Opportunity Assessment</vt:lpstr>
      <vt:lpstr>Dashboard</vt:lpstr>
      <vt:lpstr>Likelihood</vt:lpstr>
      <vt:lpstr>Impact</vt:lpstr>
      <vt:lpstr>Opps By Level</vt:lpstr>
      <vt:lpstr>Opps By Level &amp; Type</vt:lpstr>
      <vt:lpstr>Opp Levels By Opp Owner</vt:lpstr>
      <vt:lpstr>Opp Action Owner</vt:lpstr>
      <vt:lpstr>'Opportunity Assessment'!Print_Titles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Mark Clifton</cp:lastModifiedBy>
  <cp:lastPrinted>2021-04-09T08:34:04Z</cp:lastPrinted>
  <dcterms:created xsi:type="dcterms:W3CDTF">2015-06-05T18:17:20Z</dcterms:created>
  <dcterms:modified xsi:type="dcterms:W3CDTF">2022-10-18T13:22:50Z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1274000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