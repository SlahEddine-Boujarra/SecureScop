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mc:AlternateContent xmlns:mc="http://schemas.openxmlformats.org/markup-compatibility/2006">
    <mc:Choice Requires="x15">
      <x15ac:absPath xmlns:x15ac="http://schemas.microsoft.com/office/spreadsheetml/2010/11/ac" url="https://publicit3.sharepoint.com/sites/ToolkitDevelopment/Shared Documents/General/Marks ISO27001 v12 Test Folders/CERTIKIT ISO27001 Toolkit V12/06. Planning/"/>
    </mc:Choice>
  </mc:AlternateContent>
  <xr:revisionPtr revIDLastSave="388" documentId="13_ncr:1_{3697A453-D17D-4B73-96EE-980C8311AC9B}" xr6:coauthVersionLast="47" xr6:coauthVersionMax="47" xr10:uidLastSave="{9A5F2DFE-5968-442B-B7A5-0E162F70485A}"/>
  <bookViews>
    <workbookView xWindow="-120" yWindow="-120" windowWidth="29040" windowHeight="15840" tabRatio="915" xr2:uid="{00000000-000D-0000-FFFF-FFFF00000000}"/>
  </bookViews>
  <sheets>
    <sheet name="Guidance" sheetId="3" r:id="rId1"/>
    <sheet name="Version" sheetId="22" r:id="rId2"/>
    <sheet name="ISO27001 Annex A Applicability" sheetId="21" r:id="rId3"/>
    <sheet name="ISO27001 Annex A Dashboard" sheetId="50" r:id="rId4"/>
    <sheet name="ISO27001 Applicability Table" sheetId="41" state="hidden" r:id="rId5"/>
    <sheet name="ISO27001 Results Chart" sheetId="51" state="hidden" r:id="rId6"/>
    <sheet name="ISO27001 % Results Chart" sheetId="53" state="hidden" r:id="rId7"/>
    <sheet name="ISO27001 % Radar Chart" sheetId="54" state="hidden" r:id="rId8"/>
  </sheets>
  <definedNames>
    <definedName name="_xlnm.Print_Area" localSheetId="0">Guidance!$B$2:$B$26</definedName>
    <definedName name="_xlnm.Print_Titles" localSheetId="2">'ISO27001 Annex A Applicability'!$12:$12</definedName>
  </definedNames>
  <calcPr calcId="191029"/>
  <pivotCaches>
    <pivotCache cacheId="2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121" i="21" l="1"/>
  <c r="D121" i="21"/>
  <c r="E83" i="21"/>
  <c r="D83" i="21"/>
  <c r="E53" i="21"/>
  <c r="D53" i="21"/>
  <c r="C18" i="50" l="1"/>
  <c r="C11" i="41" l="1"/>
  <c r="E65" i="21" l="1"/>
  <c r="D65" i="21"/>
  <c r="D14" i="50" l="1"/>
  <c r="E14" i="50" s="1"/>
  <c r="D7" i="41"/>
  <c r="E7" i="41" s="1"/>
  <c r="F17" i="50"/>
  <c r="F10" i="41"/>
  <c r="D17" i="50"/>
  <c r="D10" i="41"/>
  <c r="D16" i="50"/>
  <c r="E16" i="50" s="1"/>
  <c r="D9" i="41"/>
  <c r="E9" i="41" s="1"/>
  <c r="D15" i="50"/>
  <c r="D8" i="41"/>
  <c r="F16" i="50"/>
  <c r="F9" i="41"/>
  <c r="F15" i="50"/>
  <c r="F8" i="41"/>
  <c r="G8" i="41" l="1"/>
  <c r="G15" i="50"/>
  <c r="E10" i="41"/>
  <c r="G10" i="41"/>
  <c r="E17" i="50"/>
  <c r="G17" i="50"/>
  <c r="G16" i="50"/>
  <c r="G9" i="41"/>
  <c r="D11" i="41"/>
  <c r="E8" i="41"/>
  <c r="E11" i="41" s="1"/>
  <c r="E15" i="50"/>
  <c r="D18" i="50"/>
  <c r="F14" i="50"/>
  <c r="F7" i="41"/>
  <c r="G7" i="41" s="1"/>
  <c r="G11" i="41" l="1"/>
  <c r="E18" i="50"/>
  <c r="G14" i="50"/>
  <c r="G18" i="50" s="1"/>
  <c r="F18" i="50"/>
  <c r="F11" i="41"/>
</calcChain>
</file>

<file path=xl/sharedStrings.xml><?xml version="1.0" encoding="utf-8"?>
<sst xmlns="http://schemas.openxmlformats.org/spreadsheetml/2006/main" count="365" uniqueCount="145">
  <si>
    <t xml:space="preserve">Version
</t>
  </si>
  <si>
    <t xml:space="preserve">Dated
</t>
  </si>
  <si>
    <t xml:space="preserve">Approval
</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</si>
  <si>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</si>
  <si>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</si>
  <si>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</si>
  <si>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</si>
  <si>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 xml:space="preserve">Security classification
</t>
  </si>
  <si>
    <t xml:space="preserve"> AREA/SECTION</t>
  </si>
  <si>
    <t>Yes</t>
  </si>
  <si>
    <t>Totals:</t>
  </si>
  <si>
    <t>ISMS: Information Security Management System</t>
  </si>
  <si>
    <t>Terms used</t>
  </si>
  <si>
    <t>Information security management systems: Requirements</t>
  </si>
  <si>
    <t>AREA OF STANDARD</t>
  </si>
  <si>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The Statement of Applicability should be reviewed in conjunction with your risk assessment, at least once a year.</t>
    </r>
  </si>
  <si>
    <t>Version information</t>
  </si>
  <si>
    <t>CONTROL</t>
  </si>
  <si>
    <t>CONTROL APPLICABLE?</t>
  </si>
  <si>
    <t>CONTROL IMPLEMENTED?</t>
  </si>
  <si>
    <t>JUSTIFICATION FOR INCLUSION OR EXCLUSION</t>
  </si>
  <si>
    <t>COMMENTS</t>
  </si>
  <si>
    <t>NO OF CONTROLS</t>
  </si>
  <si>
    <t>APPLICABLE CONTROLS</t>
  </si>
  <si>
    <t>% CONTROLS APPLICABLE</t>
  </si>
  <si>
    <t>CONTROLS IMPLEMENTED</t>
  </si>
  <si>
    <t>% APP CONTROLS IMPLEMENTED</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</si>
  <si>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This document addresses the following sections of the ISO/IEC 27001 standard:
6 Planning
6.1 Actions to address risks and opportunities
6.1.3 Information security risk treatment - item d)</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</si>
  <si>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colour scheme, go to the Page Layout ribbon, select Themes and choose a  different style.</t>
    </r>
  </si>
  <si>
    <t>ISO/IEC 27001 Statement of Applicability results</t>
  </si>
  <si>
    <t>Total</t>
  </si>
  <si>
    <t>To refresh chart data, click on “Refresh All” on the Data ribbon.</t>
  </si>
  <si>
    <t>Statement of applicability results</t>
  </si>
  <si>
    <t>ISO/IEC 27001 Annex A Controls Number of Controls Applicable and Implemented</t>
  </si>
  <si>
    <t xml:space="preserve">APPLICABLE CONTROLS </t>
  </si>
  <si>
    <t xml:space="preserve">CONTROLS IMPLEMENTED </t>
  </si>
  <si>
    <t>ISO/IEC 27001 Annex A Controls Percentage of Controls Applicable and Implemented</t>
  </si>
  <si>
    <t xml:space="preserve">% APP CONTROLS IMPLEMENTED </t>
  </si>
  <si>
    <t xml:space="preserve">% CONTROLS APPLICABLE </t>
  </si>
  <si>
    <t>ISO/IEC 27001 Annex A Controls Percentage of Controls Applicable and Implemented Radar Chart</t>
  </si>
  <si>
    <t>A.5 Organizational controls</t>
  </si>
  <si>
    <t>A.6 People controls</t>
  </si>
  <si>
    <t>A.7 Physical controls</t>
  </si>
  <si>
    <t>A.8 Technological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</si>
  <si>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</si>
  <si>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</si>
  <si>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</si>
  <si>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</si>
  <si>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</si>
  <si>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</si>
  <si>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</si>
  <si>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</si>
  <si>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</si>
  <si>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</si>
  <si>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</si>
  <si>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</si>
  <si>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</si>
  <si>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</si>
  <si>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</si>
  <si>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</si>
  <si>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</si>
  <si>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</si>
  <si>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</si>
  <si>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</si>
  <si>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</si>
  <si>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</si>
  <si>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</si>
  <si>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</si>
  <si>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</si>
  <si>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</si>
  <si>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</si>
  <si>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</si>
  <si>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</si>
  <si>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</si>
  <si>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</si>
  <si>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</si>
  <si>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</si>
  <si>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</si>
  <si>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</si>
  <si>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</si>
  <si>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</si>
  <si>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</si>
  <si>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</si>
  <si>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</si>
  <si>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</si>
  <si>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</si>
  <si>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</si>
  <si>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</si>
  <si>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</si>
  <si>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</si>
  <si>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</si>
  <si>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</si>
  <si>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</si>
  <si>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</si>
  <si>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</si>
  <si>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</si>
  <si>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</si>
  <si>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</si>
  <si>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</si>
  <si>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</si>
  <si>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</si>
  <si>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</si>
  <si>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</si>
  <si>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</si>
  <si>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</si>
  <si>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</si>
  <si>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</si>
  <si>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</si>
  <si>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</si>
  <si>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</si>
  <si>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</si>
  <si>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</si>
  <si>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</si>
  <si>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</si>
  <si>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</si>
  <si>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</si>
  <si>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</si>
  <si>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</si>
  <si>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</si>
  <si>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</si>
  <si>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</si>
  <si>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</si>
  <si>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</si>
  <si>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</si>
  <si>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</si>
  <si>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</si>
  <si>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</si>
  <si>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</si>
  <si>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</si>
  <si>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</si>
  <si>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</si>
  <si>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</si>
  <si>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</si>
  <si>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</si>
  <si>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</si>
  <si>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</si>
  <si>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</si>
  <si>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sets out which of the controls from the standard have been included or excluded and their implementation status.</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</si>
  <si>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ISO/IEC 27001 Toolkit Version 12</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</si>
  <si>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document, as well as being required by the ISO/IEC 27001 standard, is a very useful summary of how you have implemented your ISMS and will be handy during the certification audit.
In general you should implement all of the controls set out in the standard unless there are very clear reasons why not. In the main such reasons will usually be that the area of business or technology addressed does not exist in your organisation, but there may not be many of these. 
A number of charts have been provided and it is up to you to decide which form of presentation you find most helpful.</t>
    </r>
    <r>
      <rPr>
        <sz val="11"/>
        <color rgb="FF444444"/>
        <rFont val="Calibri"/>
        <family val="2"/>
        <scheme val="minor"/>
      </rPr>
      <t xml:space="preserve">   </t>
    </r>
  </si>
  <si>
    <t>Note: Only those controls that are listed in Annex A of the ISO/IEC 27001 standard are shown here.</t>
  </si>
  <si>
    <t>ISO/IEC 27001 Statement of Applicability dashboard</t>
  </si>
  <si>
    <t>ISO/IEC 27001 Annex A controls percentage of controls applicable and implemented radar chart</t>
  </si>
  <si>
    <t>ISO/IEC 27001 Annex A controls number of controls applicable and implemented</t>
  </si>
  <si>
    <t>ISO/IEC 27001 Annex A controls percentage of controls applicable and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</si>
</sst>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8"/>
      <color theme="2" tint="-0.499984740745262"/>
      <name val="Calibri"/>
      <family val="2"/>
      <scheme val="minor"/>
    </font>
    <font>
      <b/>
      <sz val="16"/>
      <color theme="2" tint="-0.499984740745262"/>
      <name val="Calibri"/>
      <family val="2"/>
      <scheme val="minor"/>
    </font>
    <font>
      <b/>
      <sz val="12"/>
      <color rgb="FF444444"/>
      <name val="Calibri"/>
      <family val="2"/>
      <scheme val="minor"/>
    </font>
    <font>
      <sz val="11"/>
      <color theme="1"/>
      <name val="Calibri"/>
      <family val="2"/>
      <scheme val="minor"/>
    </font>
    <font>
      <b/>
      <sz val="14"/>
      <color rgb="FF444444"/>
      <name val="Calibri"/>
      <family val="2"/>
      <scheme val="minor"/>
    </font>
    <font>
      <b/>
      <sz val="14"/>
      <color theme="1"/>
      <name val="Calibri"/>
      <family val="2"/>
      <scheme val="minor"/>
    </font>
    <font>
      <sz val="11"/>
      <color theme="0"/>
      <name val="Calibri"/>
      <family val="2"/>
      <scheme val="minor"/>
    </font>
    <font>
      <b/>
      <sz val="14"/>
      <color theme="0"/>
      <name val="Calibri"/>
      <family val="2"/>
      <scheme val="minor"/>
    </font>
    <font>
      <sz val="8"/>
      <name val="Calibri"/>
      <family val="2"/>
      <scheme val="minor"/>
    </font>
    <font>
      <sz val="12"/>
      <color rgb="FF444444"/>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9" fontId="13" fillId="0" borderId="0" applyFont="0" applyFill="0" applyBorder="0" applyAlignment="0" applyProtection="0"/>
  </cellStyleXfs>
  <cellXfs count="67">
    <xf numFmtId="0" fontId="0" fillId="0" borderId="0" xfId="0"/>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Fill="1" applyAlignment="1">
      <alignment horizontal="left" vertical="top"/>
    </xf>
    <xf numFmtId="0" fontId="6" fillId="0" borderId="0" xfId="0" applyFont="1" applyAlignment="1">
      <alignment vertical="top"/>
    </xf>
    <xf numFmtId="0" fontId="5" fillId="0" borderId="0" xfId="0" applyFont="1" applyBorder="1" applyAlignment="1">
      <alignment vertical="top"/>
    </xf>
    <xf numFmtId="0" fontId="9" fillId="0" borderId="0" xfId="0" applyFont="1" applyAlignment="1">
      <alignment vertical="top"/>
    </xf>
    <xf numFmtId="0" fontId="0" fillId="0" borderId="0" xfId="0" applyFont="1" applyAlignment="1">
      <alignment vertical="top"/>
    </xf>
    <xf numFmtId="0" fontId="0" fillId="0" borderId="0" xfId="0" applyFont="1" applyBorder="1" applyAlignment="1">
      <alignment vertical="top"/>
    </xf>
    <xf numFmtId="0" fontId="8" fillId="0" borderId="0" xfId="0" applyFont="1" applyAlignment="1">
      <alignment vertical="top"/>
    </xf>
    <xf numFmtId="0" fontId="7" fillId="0" borderId="3" xfId="0" applyFont="1" applyFill="1" applyBorder="1" applyAlignment="1">
      <alignment vertical="top" wrapText="1"/>
    </xf>
    <xf numFmtId="0" fontId="8" fillId="3" borderId="4" xfId="0" applyFont="1" applyFill="1" applyBorder="1" applyAlignment="1">
      <alignment vertical="top" wrapText="1"/>
    </xf>
    <xf numFmtId="0" fontId="0" fillId="0" borderId="4" xfId="0" applyFont="1" applyBorder="1" applyAlignment="1">
      <alignment vertical="top" wrapText="1"/>
    </xf>
    <xf numFmtId="0" fontId="12" fillId="0" borderId="0" xfId="0" applyFont="1" applyAlignment="1">
      <alignment vertical="top" wrapText="1"/>
    </xf>
    <xf numFmtId="0" fontId="5" fillId="0" borderId="0" xfId="0" applyFont="1" applyAlignment="1">
      <alignment horizontal="right" vertical="top" wrapText="1"/>
    </xf>
    <xf numFmtId="0" fontId="5" fillId="0" borderId="0" xfId="0" applyFont="1" applyFill="1" applyAlignment="1">
      <alignment horizontal="left" vertical="top" wrapText="1"/>
    </xf>
    <xf numFmtId="0" fontId="5" fillId="3" borderId="0" xfId="0" applyFont="1" applyFill="1" applyAlignment="1">
      <alignment vertical="top" wrapText="1"/>
    </xf>
    <xf numFmtId="0" fontId="0" fillId="0" borderId="0" xfId="0" applyFont="1" applyAlignment="1" applyProtection="1">
      <alignment horizontal="center" vertical="top"/>
      <protection locked="0"/>
    </xf>
    <xf numFmtId="0" fontId="7" fillId="3" borderId="0" xfId="0" applyFont="1" applyFill="1" applyAlignment="1">
      <alignment horizontal="right" vertical="top" wrapText="1"/>
    </xf>
    <xf numFmtId="0" fontId="7" fillId="3" borderId="0" xfId="0" applyFont="1" applyFill="1" applyAlignment="1">
      <alignment horizontal="center" vertical="top" wrapText="1"/>
    </xf>
    <xf numFmtId="0" fontId="5" fillId="0" borderId="0" xfId="0" applyFont="1" applyAlignment="1">
      <alignment horizontal="center" vertical="top"/>
    </xf>
    <xf numFmtId="0" fontId="14" fillId="0" borderId="0" xfId="0" applyFont="1" applyAlignment="1">
      <alignment vertical="top" wrapText="1"/>
    </xf>
    <xf numFmtId="0" fontId="4" fillId="2" borderId="0" xfId="0"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15" fillId="0" borderId="0" xfId="0" applyFont="1"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center" vertical="top"/>
    </xf>
    <xf numFmtId="0" fontId="0" fillId="0" borderId="0" xfId="0" applyAlignment="1">
      <alignment horizontal="center" vertical="top" wrapText="1"/>
    </xf>
    <xf numFmtId="0" fontId="8" fillId="0" borderId="0" xfId="0" applyFont="1" applyAlignment="1">
      <alignment horizontal="center" vertical="top" wrapText="1"/>
    </xf>
    <xf numFmtId="9" fontId="0" fillId="0" borderId="0" xfId="0" applyNumberFormat="1" applyAlignment="1">
      <alignment horizontal="left" vertical="top" wrapText="1"/>
    </xf>
    <xf numFmtId="9" fontId="8" fillId="0" borderId="0" xfId="0" applyNumberFormat="1" applyFont="1" applyAlignment="1">
      <alignment horizontal="left" vertical="top" wrapText="1"/>
    </xf>
    <xf numFmtId="9" fontId="0" fillId="0" borderId="0" xfId="3" applyFont="1" applyAlignment="1">
      <alignment horizontal="center" vertical="top" wrapText="1"/>
    </xf>
    <xf numFmtId="9" fontId="8" fillId="0" borderId="0" xfId="0" applyNumberFormat="1" applyFont="1" applyAlignment="1">
      <alignment horizontal="center" vertical="top" wrapText="1"/>
    </xf>
    <xf numFmtId="0" fontId="16" fillId="0" borderId="0" xfId="0" applyFont="1"/>
    <xf numFmtId="0" fontId="16" fillId="0" borderId="0" xfId="0" applyFont="1" applyAlignment="1">
      <alignment vertical="top"/>
    </xf>
    <xf numFmtId="0" fontId="17" fillId="2" borderId="0" xfId="0" applyFont="1" applyFill="1" applyAlignment="1">
      <alignment vertical="top"/>
    </xf>
    <xf numFmtId="0" fontId="5" fillId="2" borderId="0" xfId="0" applyFont="1" applyFill="1" applyAlignment="1">
      <alignment vertical="top"/>
    </xf>
    <xf numFmtId="9" fontId="5" fillId="0" borderId="0" xfId="0" applyNumberFormat="1" applyFont="1" applyAlignment="1">
      <alignment horizontal="center" vertical="top"/>
    </xf>
    <xf numFmtId="0" fontId="7" fillId="0" borderId="0" xfId="0" applyFont="1" applyAlignment="1">
      <alignment vertical="top" wrapText="1"/>
    </xf>
    <xf numFmtId="9" fontId="7" fillId="0" borderId="0" xfId="0" applyNumberFormat="1" applyFont="1" applyAlignment="1">
      <alignment horizontal="center" vertical="top"/>
    </xf>
    <xf numFmtId="0" fontId="5" fillId="2" borderId="0" xfId="0" applyFont="1" applyFill="1" applyAlignment="1">
      <alignment horizontal="center" vertical="top"/>
    </xf>
    <xf numFmtId="9" fontId="0" fillId="0" borderId="0" xfId="0" applyNumberFormat="1" applyAlignment="1">
      <alignment horizontal="center" vertical="top" wrapText="1"/>
    </xf>
    <xf numFmtId="0" fontId="16" fillId="2" borderId="0" xfId="0" applyFont="1" applyFill="1" applyAlignment="1">
      <alignment vertical="top"/>
    </xf>
    <xf numFmtId="0" fontId="16" fillId="2" borderId="0" xfId="0" applyFont="1" applyFill="1" applyAlignment="1">
      <alignment horizontal="left" vertical="top"/>
    </xf>
    <xf numFmtId="0" fontId="0" fillId="0" borderId="0" xfId="0" applyAlignment="1">
      <alignment horizontal="center" vertical="top"/>
    </xf>
    <xf numFmtId="0" fontId="0" fillId="0" borderId="0" xfId="0" applyNumberFormat="1" applyAlignment="1">
      <alignment horizontal="center" vertical="top"/>
    </xf>
    <xf numFmtId="0" fontId="17" fillId="2" borderId="0" xfId="0" applyFont="1" applyFill="1" applyAlignment="1">
      <alignment horizontal="left" vertical="top" readingOrder="1"/>
    </xf>
    <xf numFmtId="0" fontId="0" fillId="0" borderId="0" xfId="0" applyAlignment="1">
      <alignment wrapText="1"/>
    </xf>
    <xf numFmtId="0" fontId="16" fillId="2" borderId="0" xfId="0" applyFont="1" applyFill="1" applyAlignment="1">
      <alignment horizontal="left" vertical="top" wrapText="1"/>
    </xf>
    <xf numFmtId="0" fontId="0" fillId="0" borderId="0" xfId="0" applyAlignment="1">
      <alignment horizontal="left" vertical="center"/>
    </xf>
    <xf numFmtId="0" fontId="0" fillId="0" borderId="0" xfId="0" applyAlignment="1">
      <alignment horizontal="left" vertical="center" wrapText="1"/>
    </xf>
    <xf numFmtId="0" fontId="15" fillId="0" borderId="0" xfId="0" applyFont="1" applyAlignment="1">
      <alignment horizontal="left" vertical="center"/>
    </xf>
    <xf numFmtId="0" fontId="16" fillId="2" borderId="0" xfId="0" applyFont="1" applyFill="1" applyAlignment="1">
      <alignment horizontal="left" vertical="center"/>
    </xf>
    <xf numFmtId="0" fontId="16" fillId="2" borderId="0" xfId="0" applyFont="1" applyFill="1" applyAlignment="1">
      <alignment horizontal="left" vertical="center" wrapText="1"/>
    </xf>
    <xf numFmtId="9" fontId="0" fillId="0" borderId="0" xfId="0" applyNumberFormat="1" applyAlignment="1">
      <alignment horizontal="left" vertical="center" wrapText="1"/>
    </xf>
    <xf numFmtId="9" fontId="0" fillId="0" borderId="0" xfId="0" applyNumberFormat="1" applyAlignment="1">
      <alignment horizontal="left" vertical="center"/>
    </xf>
    <xf numFmtId="0" fontId="17" fillId="0" borderId="0" xfId="0" applyFont="1" applyFill="1" applyAlignment="1">
      <alignment horizontal="left" vertical="center" readingOrder="1"/>
    </xf>
    <xf numFmtId="9" fontId="5" fillId="2" borderId="0" xfId="0" applyNumberFormat="1" applyFont="1" applyFill="1" applyAlignment="1">
      <alignment horizontal="center" vertical="top"/>
    </xf>
    <xf numFmtId="0" fontId="3" fillId="0" borderId="0" xfId="0" applyFont="1" applyFill="1" applyAlignment="1">
      <alignment vertical="top"/>
    </xf>
    <xf numFmtId="0" fontId="0" fillId="0" borderId="0" xfId="0" applyFont="1" applyFill="1"/>
    <xf numFmtId="0" fontId="9" fillId="0" borderId="0" xfId="0" applyFont="1" applyFill="1"/>
    <xf numFmtId="0" fontId="19" fillId="0" borderId="0" xfId="0" applyFont="1" applyAlignment="1">
      <alignment vertical="top"/>
    </xf>
    <xf numFmtId="0" fontId="15" fillId="0" borderId="0" xfId="0" applyFont="1" applyFill="1" applyAlignment="1">
      <alignment vertical="top"/>
    </xf>
  </cellXfs>
  <cellStyles count="4">
    <cellStyle name="Heading 1" xfId="1" builtinId="16" customBuiltin="1"/>
    <cellStyle name="Heading 2" xfId="2" builtinId="17" customBuiltin="1"/>
    <cellStyle name="Normal" xfId="0" builtinId="0"/>
    <cellStyle name="Percent" xfId="3" builtinId="5"/>
  </cellStyles>
  <dxfs count="90">
    <dxf>
      <font>
        <color theme="0"/>
      </font>
    </dxf>
    <dxf>
      <font>
        <color theme="0"/>
      </font>
    </dxf>
    <dxf>
      <fill>
        <patternFill patternType="solid">
          <bgColor theme="2" tint="-0.499984740745262"/>
        </patternFill>
      </fill>
    </dxf>
    <dxf>
      <fill>
        <patternFill patternType="solid">
          <bgColor theme="2" tint="-0.499984740745262"/>
        </patternFill>
      </fill>
    </dxf>
    <dxf>
      <alignment vertical="top"/>
    </dxf>
    <dxf>
      <alignment vertical="top"/>
    </dxf>
    <dxf>
      <alignment wrapText="1"/>
    </dxf>
    <dxf>
      <numFmt numFmtId="13" formatCode="0%"/>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wrapText="1"/>
    </dxf>
    <dxf>
      <alignment wrapText="1"/>
    </dxf>
    <dxf>
      <font>
        <color theme="0"/>
      </font>
    </dxf>
    <dxf>
      <font>
        <color theme="0"/>
      </font>
    </dxf>
    <dxf>
      <fill>
        <patternFill patternType="solid">
          <bgColor theme="2" tint="-0.499984740745262"/>
        </patternFill>
      </fill>
    </dxf>
    <dxf>
      <fill>
        <patternFill patternType="solid">
          <bgColor theme="2" tint="-0.499984740745262"/>
        </patternFill>
      </fill>
    </dxf>
    <dxf>
      <alignment horizontal="left"/>
    </dxf>
    <dxf>
      <alignment horizontal="left"/>
    </dxf>
    <dxf>
      <alignment horizontal="center"/>
    </dxf>
    <dxf>
      <alignment horizontal="left"/>
    </dxf>
    <dxf>
      <alignment horizontal="left"/>
    </dxf>
    <dxf>
      <alignment vertical="top"/>
    </dxf>
    <dxf>
      <alignment vertical="top"/>
    </dxf>
    <dxf>
      <alignment vertical="top"/>
    </dxf>
    <dxf>
      <alignment vertical="top"/>
    </dxf>
    <dxf>
      <alignment vertical="top"/>
    </dxf>
    <dxf>
      <font>
        <color theme="0"/>
      </font>
    </dxf>
    <dxf>
      <font>
        <color theme="0"/>
      </font>
    </dxf>
    <dxf>
      <font>
        <color theme="0"/>
      </font>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color rgb="FF444444"/>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font>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color rgb="FF444444"/>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font>
    </dxf>
    <dxf>
      <alignment horizontal="left" vertical="top" textRotation="0" wrapText="1"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2" defaultTableStyle="CertiKit table style" defaultPivotStyle="PivotStyleLight16">
    <tableStyle name="CertiKit Slicer" pivot="0" table="0" count="10" xr9:uid="{FCC2AF85-7669-42AB-BE0F-8A70404C0D05}">
      <tableStyleElement type="wholeTable" dxfId="89"/>
      <tableStyleElement type="headerRow" dxfId="88"/>
    </tableStyle>
    <tableStyle name="CertiKit table style" pivot="0" count="4" xr9:uid="{C9D01002-7EEB-4392-906F-2D3907ED044F}">
      <tableStyleElement type="wholeTable" dxfId="87"/>
      <tableStyleElement type="headerRow" dxfId="86"/>
      <tableStyleElement type="firstRowStripe" dxfId="85"/>
      <tableStyleElement type="secondRowStripe" dxfId="84"/>
    </tableStyle>
  </tableStyles>
  <colors>
    <mruColors>
      <color rgb="FF005E63"/>
      <color rgb="FFD0EAEB"/>
      <color rgb="FF009BA4"/>
      <color rgb="FF444444"/>
      <color rgb="FF006D7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[ISMS-FORM-06-2 Statement of Applicability.xlsx]ISO27001 Results Chart!ISO27001ApplicabilityTableResults</c:name>
    <c:fmtId val="2"/>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'ISO27001 Results Chart'!$C$6</c:f>
              <c:strCache>
                <c:ptCount val="1"/>
                <c:pt idx="0">
                  <c:v>APPLICABLE CONTROLS </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Results Chart'!$B$7:$B$10</c:f>
              <c:strCache>
                <c:ptCount val="4"/>
                <c:pt idx="0">
                  <c:v>A.8 Technological controls</c:v>
                </c:pt>
                <c:pt idx="1">
                  <c:v>A.7 Physical controls</c:v>
                </c:pt>
                <c:pt idx="2">
                  <c:v>A.6 People controls</c:v>
                </c:pt>
                <c:pt idx="3">
                  <c:v>A.5 Organizational controls</c:v>
                </c:pt>
              </c:strCache>
            </c:strRef>
          </c:cat>
          <c:val>
            <c:numRef>
              <c:f>'ISO27001 Results Chart'!$C$7:$C$10</c:f>
              <c:numCache>
                <c:formatCode>General</c:formatCode>
                <c:ptCount val="4"/>
                <c:pt idx="0">
                  <c:v>34</c:v>
                </c:pt>
                <c:pt idx="1">
                  <c:v>14</c:v>
                </c:pt>
                <c:pt idx="2">
                  <c:v>8</c:v>
                </c:pt>
                <c:pt idx="3">
                  <c:v>37</c:v>
                </c:pt>
              </c:numCache>
            </c:numRef>
          </c:val>
          <c:extLst>
            <c:ext xmlns:c16="http://schemas.microsoft.com/office/drawing/2014/chart" uri="{C3380CC4-5D6E-409C-BE32-E72D297353CC}">
              <c16:uniqueId val="{00000000-9E20-4A80-B1EB-C77DBA585E0D}"/>
            </c:ext>
          </c:extLst>
        </c:ser>
        <c:ser>
          <c:idx val="1"/>
          <c:order val="1"/>
          <c:tx>
            <c:strRef>
              <c:f>'ISO27001 Results Chart'!$D$6</c:f>
              <c:strCache>
                <c:ptCount val="1"/>
                <c:pt idx="0">
                  <c:v>CONTROLS IMPLEMENTED </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Results Chart'!$B$7:$B$10</c:f>
              <c:strCache>
                <c:ptCount val="4"/>
                <c:pt idx="0">
                  <c:v>A.8 Technological controls</c:v>
                </c:pt>
                <c:pt idx="1">
                  <c:v>A.7 Physical controls</c:v>
                </c:pt>
                <c:pt idx="2">
                  <c:v>A.6 People controls</c:v>
                </c:pt>
                <c:pt idx="3">
                  <c:v>A.5 Organizational controls</c:v>
                </c:pt>
              </c:strCache>
            </c:strRef>
          </c:cat>
          <c:val>
            <c:numRef>
              <c:f>'ISO27001 Results Chart'!$D$7:$D$10</c:f>
              <c:numCache>
                <c:formatCode>General</c:formatCode>
                <c:ptCount val="4"/>
                <c:pt idx="0">
                  <c:v>34</c:v>
                </c:pt>
                <c:pt idx="1">
                  <c:v>14</c:v>
                </c:pt>
                <c:pt idx="2">
                  <c:v>8</c:v>
                </c:pt>
                <c:pt idx="3">
                  <c:v>37</c:v>
                </c:pt>
              </c:numCache>
            </c:numRef>
          </c:val>
          <c:extLst>
            <c:ext xmlns:c16="http://schemas.microsoft.com/office/drawing/2014/chart" uri="{C3380CC4-5D6E-409C-BE32-E72D297353CC}">
              <c16:uniqueId val="{00000001-9E20-4A80-B1EB-C77DBA585E0D}"/>
            </c:ext>
          </c:extLst>
        </c:ser>
        <c:dLbls>
          <c:dLblPos val="outEnd"/>
          <c:showLegendKey val="0"/>
          <c:showVal val="1"/>
          <c:showCatName val="0"/>
          <c:showSerName val="0"/>
          <c:showPercent val="0"/>
          <c:showBubbleSize val="0"/>
        </c:dLbls>
        <c:gapWidth val="100"/>
        <c:overlap val="-20"/>
        <c:axId val="1313755320"/>
        <c:axId val="1313755976"/>
      </c:barChart>
      <c:catAx>
        <c:axId val="1313755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55976"/>
        <c:crosses val="autoZero"/>
        <c:auto val="1"/>
        <c:lblAlgn val="ctr"/>
        <c:lblOffset val="100"/>
        <c:noMultiLvlLbl val="0"/>
      </c:catAx>
      <c:valAx>
        <c:axId val="1313755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553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[ISMS-FORM-06-2 Statement of Applicability.xlsx]ISO27001 % Radar Chart!ISO27001%RadarPivot</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lumMod val="75000"/>
              </a:schemeClr>
            </a:solidFill>
            <a:round/>
          </a:ln>
          <a:effectLst/>
        </c:spPr>
        <c:marker>
          <c:symbol val="none"/>
        </c:marker>
      </c:pivotFmt>
      <c:pivotFmt>
        <c:idx val="7"/>
        <c:spPr>
          <a:ln w="28575" cap="rnd">
            <a:solidFill>
              <a:schemeClr val="bg2">
                <a:lumMod val="75000"/>
              </a:schemeClr>
            </a:solidFill>
            <a:round/>
          </a:ln>
          <a:effectLst/>
        </c:spPr>
        <c:marker>
          <c:symbol val="none"/>
        </c:marker>
      </c:pivotFmt>
    </c:pivotFmts>
    <c:plotArea>
      <c:layout/>
      <c:radarChart>
        <c:radarStyle val="marker"/>
        <c:varyColors val="0"/>
        <c:ser>
          <c:idx val="0"/>
          <c:order val="0"/>
          <c:tx>
            <c:strRef>
              <c:f>'ISO27001 % Radar Chart'!$C$6</c:f>
              <c:strCache>
                <c:ptCount val="1"/>
                <c:pt idx="0">
                  <c:v>% APP CONTROLS IMPLEMENTED </c:v>
                </c:pt>
              </c:strCache>
            </c:strRef>
          </c:tx>
          <c:spPr>
            <a:ln w="28575" cap="rnd">
              <a:solidFill>
                <a:schemeClr val="bg2">
                  <a:lumMod val="75000"/>
                </a:schemeClr>
              </a:solidFill>
              <a:round/>
            </a:ln>
            <a:effectLst/>
          </c:spPr>
          <c:marker>
            <c:symbol val="none"/>
          </c:marker>
          <c:dPt>
            <c:idx val="1"/>
            <c:marker>
              <c:symbol val="none"/>
            </c:marker>
            <c:bubble3D val="0"/>
            <c:extLst>
              <c:ext xmlns:c16="http://schemas.microsoft.com/office/drawing/2014/chart" uri="{C3380CC4-5D6E-409C-BE32-E72D297353CC}">
                <c16:uniqueId val="{00000002-8B31-4004-A082-7510746DA1DF}"/>
              </c:ext>
            </c:extLst>
          </c:dPt>
          <c:cat>
            <c:strRef>
              <c:f>'ISO27001 % Radar Chart'!$B$7:$B$10</c:f>
              <c:strCache>
                <c:ptCount val="4"/>
                <c:pt idx="0">
                  <c:v>A.5 Organizational controls</c:v>
                </c:pt>
                <c:pt idx="1">
                  <c:v>A.6 People controls</c:v>
                </c:pt>
                <c:pt idx="2">
                  <c:v>A.7 Physical controls</c:v>
                </c:pt>
                <c:pt idx="3">
                  <c:v>A.8 Technological controls</c:v>
                </c:pt>
              </c:strCache>
            </c:strRef>
          </c:cat>
          <c:val>
            <c:numRef>
              <c:f>'ISO27001 % Radar Chart'!$C$7:$C$10</c:f>
              <c:numCache>
                <c:formatCode>0%</c:formatCode>
                <c:ptCount val="4"/>
                <c:pt idx="0">
                  <c:v>1</c:v>
                </c:pt>
                <c:pt idx="1">
                  <c:v>1</c:v>
                </c:pt>
                <c:pt idx="2">
                  <c:v>1</c:v>
                </c:pt>
                <c:pt idx="3">
                  <c:v>1</c:v>
                </c:pt>
              </c:numCache>
            </c:numRef>
          </c:val>
          <c:extLst>
            <c:ext xmlns:c16="http://schemas.microsoft.com/office/drawing/2014/chart" uri="{C3380CC4-5D6E-409C-BE32-E72D297353CC}">
              <c16:uniqueId val="{00000000-8B31-4004-A082-7510746DA1DF}"/>
            </c:ext>
          </c:extLst>
        </c:ser>
        <c:ser>
          <c:idx val="1"/>
          <c:order val="1"/>
          <c:tx>
            <c:strRef>
              <c:f>'ISO27001 % Radar Chart'!$D$6</c:f>
              <c:strCache>
                <c:ptCount val="1"/>
                <c:pt idx="0">
                  <c:v>% CONTROLS APPLICABLE </c:v>
                </c:pt>
              </c:strCache>
            </c:strRef>
          </c:tx>
          <c:spPr>
            <a:ln w="28575" cap="rnd">
              <a:solidFill>
                <a:schemeClr val="bg2">
                  <a:lumMod val="25000"/>
                </a:schemeClr>
              </a:solidFill>
              <a:round/>
            </a:ln>
            <a:effectLst/>
          </c:spPr>
          <c:marker>
            <c:symbol val="none"/>
          </c:marker>
          <c:cat>
            <c:strRef>
              <c:f>'ISO27001 % Radar Chart'!$B$7:$B$10</c:f>
              <c:strCache>
                <c:ptCount val="4"/>
                <c:pt idx="0">
                  <c:v>A.5 Organizational controls</c:v>
                </c:pt>
                <c:pt idx="1">
                  <c:v>A.6 People controls</c:v>
                </c:pt>
                <c:pt idx="2">
                  <c:v>A.7 Physical controls</c:v>
                </c:pt>
                <c:pt idx="3">
                  <c:v>A.8 Technological controls</c:v>
                </c:pt>
              </c:strCache>
            </c:strRef>
          </c:cat>
          <c:val>
            <c:numRef>
              <c:f>'ISO27001 % Radar Chart'!$D$7:$D$10</c:f>
              <c:numCache>
                <c:formatCode>0%</c:formatCode>
                <c:ptCount val="4"/>
                <c:pt idx="0">
                  <c:v>1</c:v>
                </c:pt>
                <c:pt idx="1">
                  <c:v>1</c:v>
                </c:pt>
                <c:pt idx="2">
                  <c:v>1</c:v>
                </c:pt>
                <c:pt idx="3">
                  <c:v>1</c:v>
                </c:pt>
              </c:numCache>
            </c:numRef>
          </c:val>
          <c:extLst>
            <c:ext xmlns:c16="http://schemas.microsoft.com/office/drawing/2014/chart" uri="{C3380CC4-5D6E-409C-BE32-E72D297353CC}">
              <c16:uniqueId val="{00000001-8B31-4004-A082-7510746DA1DF}"/>
            </c:ext>
          </c:extLst>
        </c:ser>
        <c:dLbls>
          <c:showLegendKey val="0"/>
          <c:showVal val="0"/>
          <c:showCatName val="0"/>
          <c:showSerName val="0"/>
          <c:showPercent val="0"/>
          <c:showBubbleSize val="0"/>
        </c:dLbls>
        <c:axId val="1224042832"/>
        <c:axId val="1224050704"/>
      </c:radarChart>
      <c:catAx>
        <c:axId val="12240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050704"/>
        <c:crosses val="autoZero"/>
        <c:auto val="1"/>
        <c:lblAlgn val="ctr"/>
        <c:lblOffset val="100"/>
        <c:noMultiLvlLbl val="0"/>
      </c:catAx>
      <c:valAx>
        <c:axId val="122405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042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[ISMS-FORM-06-2 Statement of Applicability.xlsx]ISO27001 % Results Chart!ISO27001%ResultsChart</c:name>
    <c:fmtId val="2"/>
  </c:pivotSource>
  <c:chart>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87967557413172E-2"/>
          <c:y val="0.1462151846403815"/>
          <c:w val="0.90582570922884864"/>
          <c:h val="0.51356465057252454"/>
        </c:manualLayout>
      </c:layout>
      <c:barChart>
        <c:barDir val="col"/>
        <c:grouping val="clustered"/>
        <c:varyColors val="0"/>
        <c:ser>
          <c:idx val="0"/>
          <c:order val="0"/>
          <c:tx>
            <c:strRef>
              <c:f>'ISO27001 % Results Chart'!$C$6</c:f>
              <c:strCache>
                <c:ptCount val="1"/>
                <c:pt idx="0">
                  <c:v>% APP CONTROLS IMPLEMENTED </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 Results Chart'!$B$7:$B$10</c:f>
              <c:strCache>
                <c:ptCount val="4"/>
                <c:pt idx="0">
                  <c:v>A.5 Organizational controls</c:v>
                </c:pt>
                <c:pt idx="1">
                  <c:v>A.6 People controls</c:v>
                </c:pt>
                <c:pt idx="2">
                  <c:v>A.7 Physical controls</c:v>
                </c:pt>
                <c:pt idx="3">
                  <c:v>A.8 Technological controls</c:v>
                </c:pt>
              </c:strCache>
            </c:strRef>
          </c:cat>
          <c:val>
            <c:numRef>
              <c:f>'ISO27001 % Results Chart'!$C$7:$C$10</c:f>
              <c:numCache>
                <c:formatCode>0%</c:formatCode>
                <c:ptCount val="4"/>
                <c:pt idx="0">
                  <c:v>1</c:v>
                </c:pt>
                <c:pt idx="1">
                  <c:v>1</c:v>
                </c:pt>
                <c:pt idx="2">
                  <c:v>1</c:v>
                </c:pt>
                <c:pt idx="3">
                  <c:v>1</c:v>
                </c:pt>
              </c:numCache>
            </c:numRef>
          </c:val>
          <c:extLst>
            <c:ext xmlns:c16="http://schemas.microsoft.com/office/drawing/2014/chart" uri="{C3380CC4-5D6E-409C-BE32-E72D297353CC}">
              <c16:uniqueId val="{00000000-173C-4F59-AC71-A5CE5BEA51F3}"/>
            </c:ext>
          </c:extLst>
        </c:ser>
        <c:ser>
          <c:idx val="1"/>
          <c:order val="1"/>
          <c:tx>
            <c:strRef>
              <c:f>'ISO27001 % Results Chart'!$D$6</c:f>
              <c:strCache>
                <c:ptCount val="1"/>
                <c:pt idx="0">
                  <c:v>% CONTROLS APPLICABLE </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 Results Chart'!$B$7:$B$10</c:f>
              <c:strCache>
                <c:ptCount val="4"/>
                <c:pt idx="0">
                  <c:v>A.5 Organizational controls</c:v>
                </c:pt>
                <c:pt idx="1">
                  <c:v>A.6 People controls</c:v>
                </c:pt>
                <c:pt idx="2">
                  <c:v>A.7 Physical controls</c:v>
                </c:pt>
                <c:pt idx="3">
                  <c:v>A.8 Technological controls</c:v>
                </c:pt>
              </c:strCache>
            </c:strRef>
          </c:cat>
          <c:val>
            <c:numRef>
              <c:f>'ISO27001 % Results Chart'!$D$7:$D$10</c:f>
              <c:numCache>
                <c:formatCode>0%</c:formatCode>
                <c:ptCount val="4"/>
                <c:pt idx="0">
                  <c:v>1</c:v>
                </c:pt>
                <c:pt idx="1">
                  <c:v>1</c:v>
                </c:pt>
                <c:pt idx="2">
                  <c:v>1</c:v>
                </c:pt>
                <c:pt idx="3">
                  <c:v>1</c:v>
                </c:pt>
              </c:numCache>
            </c:numRef>
          </c:val>
          <c:extLst>
            <c:ext xmlns:c16="http://schemas.microsoft.com/office/drawing/2014/chart" uri="{C3380CC4-5D6E-409C-BE32-E72D297353CC}">
              <c16:uniqueId val="{00000001-173C-4F59-AC71-A5CE5BEA51F3}"/>
            </c:ext>
          </c:extLst>
        </c:ser>
        <c:dLbls>
          <c:dLblPos val="outEnd"/>
          <c:showLegendKey val="0"/>
          <c:showVal val="1"/>
          <c:showCatName val="0"/>
          <c:showSerName val="0"/>
          <c:showPercent val="0"/>
          <c:showBubbleSize val="0"/>
        </c:dLbls>
        <c:gapWidth val="100"/>
        <c:overlap val="-20"/>
        <c:axId val="566447928"/>
        <c:axId val="566439400"/>
      </c:barChart>
      <c:catAx>
        <c:axId val="56644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439400"/>
        <c:crosses val="autoZero"/>
        <c:auto val="1"/>
        <c:lblAlgn val="ctr"/>
        <c:lblOffset val="100"/>
        <c:noMultiLvlLbl val="0"/>
      </c:catAx>
      <c:valAx>
        <c:axId val="56643940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447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3.jpe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xdr:col>
      <xdr:colOff>3238500</xdr:colOff>
      <xdr:row>0</xdr:row>
      <xdr:rowOff>114300</xdr:rowOff>
    </xdr:from>
    <xdr:to>
      <xdr:col>2</xdr:col>
      <xdr:colOff>76200</xdr:colOff>
      <xdr:row>5</xdr:row>
      <xdr:rowOff>60960</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a:off x="3429000" y="11430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Statement of</a:t>
          </a:r>
          <a:br>
            <a:rPr lang="en-GB" sz="1800" b="1">
              <a:solidFill>
                <a:schemeClr val="tx1"/>
              </a:solidFill>
            </a:rPr>
          </a:br>
          <a:r>
            <a:rPr lang="en-GB" sz="1800" b="1">
              <a:solidFill>
                <a:schemeClr val="tx1"/>
              </a:solidFill>
            </a:rPr>
            <a:t>Applicability</a:t>
          </a:r>
        </a:p>
        <a:p>
          <a:pPr algn="r"/>
          <a:r>
            <a:rPr lang="en-GB" sz="1200" b="0">
              <a:solidFill>
                <a:schemeClr val="tx1"/>
              </a:solidFill>
              <a:latin typeface="+mn-lt"/>
            </a:rPr>
            <a:t>ISMS-FORM-06-2</a:t>
          </a:r>
        </a:p>
      </xdr:txBody>
    </xdr:sp>
    <xdr:clientData/>
  </xdr:twoCellAnchor>
  <xdr:twoCellAnchor editAs="oneCell">
    <xdr:from>
      <xdr:col>1</xdr:col>
      <xdr:colOff>0</xdr:colOff>
      <xdr:row>1</xdr:row>
      <xdr:rowOff>0</xdr:rowOff>
    </xdr:from>
    <xdr:to>
      <xdr:col>1</xdr:col>
      <xdr:colOff>2959968</xdr:colOff>
      <xdr:row>5</xdr:row>
      <xdr:rowOff>7620</xdr:rowOff>
    </xdr:to>
    <xdr:pic>
      <xdr:nvPicPr>
        <xdr:cNvPr id="6" name="Picture 5">
          <a:extLst>
            <a:ext uri="{FF2B5EF4-FFF2-40B4-BE49-F238E27FC236}">
              <a16:creationId xmlns:a16="http://schemas.microsoft.com/office/drawing/2014/main" id="{AC8FD6C7-2AEA-4BC9-8A68-FD8A8EE49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1060925</xdr:colOff>
      <xdr:row>6</xdr:row>
      <xdr:rowOff>5490</xdr:rowOff>
    </xdr:to>
    <xdr:pic>
      <xdr:nvPicPr>
        <xdr:cNvPr id="2" name="Picture 1" descr="Auto Replace">
          <a:extLst>
            <a:ext uri="{FF2B5EF4-FFF2-40B4-BE49-F238E27FC236}">
              <a16:creationId xmlns:a16="http://schemas.microsoft.com/office/drawing/2014/main" id="{7D9FC248-3526-4325-8472-81CD8F6F30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2</xdr:col>
      <xdr:colOff>4086224</xdr:colOff>
      <xdr:row>1</xdr:row>
      <xdr:rowOff>66675</xdr:rowOff>
    </xdr:from>
    <xdr:to>
      <xdr:col>3</xdr:col>
      <xdr:colOff>76199</xdr:colOff>
      <xdr:row>6</xdr:row>
      <xdr:rowOff>9525</xdr:rowOff>
    </xdr:to>
    <xdr:sp macro="" textlink="">
      <xdr:nvSpPr>
        <xdr:cNvPr id="4" name="TextBox 3">
          <a:extLst>
            <a:ext uri="{FF2B5EF4-FFF2-40B4-BE49-F238E27FC236}">
              <a16:creationId xmlns:a16="http://schemas.microsoft.com/office/drawing/2014/main" id="{3CDD1298-AF59-4A7C-8014-C1146D958AF0}"/>
            </a:ext>
          </a:extLst>
        </xdr:cNvPr>
        <xdr:cNvSpPr txBox="1"/>
      </xdr:nvSpPr>
      <xdr:spPr>
        <a:xfrm>
          <a:off x="5743574" y="257175"/>
          <a:ext cx="157162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Statement of</a:t>
          </a:r>
          <a:br>
            <a:rPr lang="en-GB" sz="1800" b="1">
              <a:solidFill>
                <a:schemeClr val="tx1"/>
              </a:solidFill>
            </a:rPr>
          </a:br>
          <a:r>
            <a:rPr lang="en-GB" sz="1800" b="1">
              <a:solidFill>
                <a:schemeClr val="tx1"/>
              </a:solidFill>
            </a:rPr>
            <a:t>Applicability</a:t>
          </a:r>
        </a:p>
        <a:p>
          <a:pPr algn="r"/>
          <a:r>
            <a:rPr lang="en-GB" sz="1200" b="0">
              <a:solidFill>
                <a:schemeClr val="tx1"/>
              </a:solidFill>
              <a:latin typeface="+mn-lt"/>
            </a:rPr>
            <a:t>ISMS-FORM-06-2</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60800</xdr:colOff>
      <xdr:row>5</xdr:row>
      <xdr:rowOff>186465</xdr:rowOff>
    </xdr:to>
    <xdr:pic>
      <xdr:nvPicPr>
        <xdr:cNvPr id="2" name="Picture 1" descr="Auto Replace">
          <a:extLst>
            <a:ext uri="{FF2B5EF4-FFF2-40B4-BE49-F238E27FC236}">
              <a16:creationId xmlns:a16="http://schemas.microsoft.com/office/drawing/2014/main" id="{7C8E2DEE-A00D-4476-B557-5D61457FD54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5</xdr:col>
      <xdr:colOff>990600</xdr:colOff>
      <xdr:row>0</xdr:row>
      <xdr:rowOff>95250</xdr:rowOff>
    </xdr:from>
    <xdr:to>
      <xdr:col>6</xdr:col>
      <xdr:colOff>2105025</xdr:colOff>
      <xdr:row>5</xdr:row>
      <xdr:rowOff>28575</xdr:rowOff>
    </xdr:to>
    <xdr:sp macro="" textlink="">
      <xdr:nvSpPr>
        <xdr:cNvPr id="3" name="TextBox 2">
          <a:extLst>
            <a:ext uri="{FF2B5EF4-FFF2-40B4-BE49-F238E27FC236}">
              <a16:creationId xmlns:a16="http://schemas.microsoft.com/office/drawing/2014/main" id="{7B66A553-D01B-4BC2-8F03-B8580CCB4DA0}"/>
            </a:ext>
          </a:extLst>
        </xdr:cNvPr>
        <xdr:cNvSpPr txBox="1"/>
      </xdr:nvSpPr>
      <xdr:spPr>
        <a:xfrm>
          <a:off x="10544175" y="95250"/>
          <a:ext cx="2743200"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ISO/IEC 27001 Statement</a:t>
          </a:r>
          <a:br>
            <a:rPr lang="en-GB" sz="1800" b="1">
              <a:solidFill>
                <a:schemeClr val="tx1"/>
              </a:solidFill>
            </a:rPr>
          </a:br>
          <a:r>
            <a:rPr lang="en-GB" sz="1800" b="1">
              <a:solidFill>
                <a:schemeClr val="tx1"/>
              </a:solidFill>
            </a:rPr>
            <a:t>of</a:t>
          </a:r>
          <a:r>
            <a:rPr lang="en-GB" sz="1800" b="1" baseline="0">
              <a:solidFill>
                <a:schemeClr val="tx1"/>
              </a:solidFill>
            </a:rPr>
            <a:t> Applicability</a:t>
          </a:r>
          <a:endParaRPr lang="en-GB" sz="1800" b="1">
            <a:solidFill>
              <a:schemeClr val="tx1"/>
            </a:solidFill>
          </a:endParaRPr>
        </a:p>
        <a:p>
          <a:pPr algn="r"/>
          <a:r>
            <a:rPr lang="en-GB" sz="1200" b="0">
              <a:solidFill>
                <a:schemeClr val="tx1"/>
              </a:solidFill>
              <a:latin typeface="+mn-lt"/>
            </a:rPr>
            <a:t>ISMS-FORM-06-2</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2527775</xdr:colOff>
      <xdr:row>6</xdr:row>
      <xdr:rowOff>5490</xdr:rowOff>
    </xdr:to>
    <xdr:pic>
      <xdr:nvPicPr>
        <xdr:cNvPr id="2" name="Picture 1" descr="Auto Replace">
          <a:extLst>
            <a:ext uri="{FF2B5EF4-FFF2-40B4-BE49-F238E27FC236}">
              <a16:creationId xmlns:a16="http://schemas.microsoft.com/office/drawing/2014/main" id="{102E9002-A906-4AC0-A2FA-26EFAF104CC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xdr:from>
      <xdr:col>1</xdr:col>
      <xdr:colOff>0</xdr:colOff>
      <xdr:row>22</xdr:row>
      <xdr:rowOff>190499</xdr:rowOff>
    </xdr:from>
    <xdr:to>
      <xdr:col>6</xdr:col>
      <xdr:colOff>1238250</xdr:colOff>
      <xdr:row>55</xdr:row>
      <xdr:rowOff>180974</xdr:rowOff>
    </xdr:to>
    <xdr:graphicFrame macro="">
      <xdr:nvGraphicFramePr>
        <xdr:cNvPr id="6" name="Chart 5">
          <a:extLst>
            <a:ext uri="{FF2B5EF4-FFF2-40B4-BE49-F238E27FC236}">
              <a16:creationId xmlns:a16="http://schemas.microsoft.com/office/drawing/2014/main" id="{ADFE48F8-1447-4C87-8D52-1D8AA1E4F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xdr:colOff>
      <xdr:row>14</xdr:row>
      <xdr:rowOff>0</xdr:rowOff>
    </xdr:from>
    <xdr:to>
      <xdr:col>23</xdr:col>
      <xdr:colOff>600075</xdr:colOff>
      <xdr:row>35</xdr:row>
      <xdr:rowOff>9525</xdr:rowOff>
    </xdr:to>
    <xdr:graphicFrame macro="">
      <xdr:nvGraphicFramePr>
        <xdr:cNvPr id="7" name="Chart 6">
          <a:extLst>
            <a:ext uri="{FF2B5EF4-FFF2-40B4-BE49-F238E27FC236}">
              <a16:creationId xmlns:a16="http://schemas.microsoft.com/office/drawing/2014/main" id="{490B58A1-5C4A-4D20-A9D4-4BB1B499A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39</xdr:row>
      <xdr:rowOff>0</xdr:rowOff>
    </xdr:from>
    <xdr:to>
      <xdr:col>26</xdr:col>
      <xdr:colOff>0</xdr:colOff>
      <xdr:row>66</xdr:row>
      <xdr:rowOff>0</xdr:rowOff>
    </xdr:to>
    <xdr:graphicFrame macro="">
      <xdr:nvGraphicFramePr>
        <xdr:cNvPr id="8" name="Chart 7">
          <a:extLst>
            <a:ext uri="{FF2B5EF4-FFF2-40B4-BE49-F238E27FC236}">
              <a16:creationId xmlns:a16="http://schemas.microsoft.com/office/drawing/2014/main" id="{357FCA02-66DE-4B55-ABF4-0A9A08B13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4746.477841782405" missingItemsLimit="0" createdVersion="6" refreshedVersion="8" minRefreshableVersion="3" recordCount="4" xr:uid="{6C55B2AF-FD4C-4E2A-90E9-57ADDCC687EC}">
  <cacheSource type="worksheet">
    <worksheetSource name="ISO27001ApplicabilityTableResults"/>
  </cacheSource>
  <cacheFields count="6">
    <cacheField name="AREA OF STANDARD" numFmtId="0">
      <sharedItems count="4">
        <s v="A.5 Organizational controls"/>
        <s v="A.6 People controls"/>
        <s v="A.7 Physical controls"/>
        <s v="A.8 Technological controls"/>
      </sharedItems>
    </cacheField>
    <cacheField name="NO OF CONTROLS" numFmtId="0">
      <sharedItems containsSemiMixedTypes="0" containsString="0" containsNumber="1" containsInteger="1" minValue="8" maxValue="37" count="4">
        <n v="37"/>
        <n v="8"/>
        <n v="14"/>
        <n v="34"/>
      </sharedItems>
    </cacheField>
    <cacheField name="APPLICABLE CONTROLS" numFmtId="0">
      <sharedItems containsSemiMixedTypes="0" containsString="0" containsNumber="1" containsInteger="1" minValue="8" maxValue="37"/>
    </cacheField>
    <cacheField name="% CONTROLS APPLICABLE" numFmtId="9">
      <sharedItems containsSemiMixedTypes="0" containsString="0" containsNumber="1" containsInteger="1" minValue="1" maxValue="1"/>
    </cacheField>
    <cacheField name="CONTROLS IMPLEMENTED" numFmtId="0">
      <sharedItems containsSemiMixedTypes="0" containsString="0" containsNumber="1" containsInteger="1" minValue="8" maxValue="37"/>
    </cacheField>
    <cacheField name="% APP CONTROLS IMPLEMENTED" numFmtId="9">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37"/>
    <n v="1"/>
    <n v="37"/>
    <n v="1"/>
  </r>
  <r>
    <x v="1"/>
    <x v="1"/>
    <n v="8"/>
    <n v="1"/>
    <n v="8"/>
    <n v="1"/>
  </r>
  <r>
    <x v="2"/>
    <x v="2"/>
    <n v="14"/>
    <n v="1"/>
    <n v="14"/>
    <n v="1"/>
  </r>
  <r>
    <x v="3"/>
    <x v="3"/>
    <n v="34"/>
    <n v="1"/>
    <n v="3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9303E-6E9A-48D3-AB4D-497A24F9D4DB}" name="ISO27001ApplicabilityTableResults" cacheId="20"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chartFormat="9">
  <location ref="B6:D10" firstHeaderRow="0" firstDataRow="1" firstDataCol="1"/>
  <pivotFields count="6">
    <pivotField axis="axisRow" compact="0" outline="0" showAll="0" defaultSubtotal="0">
      <items count="4">
        <item x="3"/>
        <item x="2"/>
        <item x="1"/>
        <item x="0"/>
      </items>
    </pivotField>
    <pivotField compact="0" outline="0" showAll="0" defaultSubtotal="0">
      <items count="4">
        <item x="1"/>
        <item x="2"/>
        <item x="0"/>
        <item x="3"/>
      </items>
    </pivotField>
    <pivotField dataField="1" compact="0" outline="0" showAll="0" defaultSubtotal="0"/>
    <pivotField compact="0" numFmtId="9" outline="0" showAll="0" defaultSubtotal="0"/>
    <pivotField dataField="1" compact="0" outline="0" showAll="0" defaultSubtotal="0"/>
    <pivotField compact="0" numFmtId="9" outline="0" showAll="0" defaultSubtotal="0"/>
  </pivotFields>
  <rowFields count="1">
    <field x="0"/>
  </rowFields>
  <rowItems count="4">
    <i>
      <x/>
    </i>
    <i>
      <x v="1"/>
    </i>
    <i>
      <x v="2"/>
    </i>
    <i>
      <x v="3"/>
    </i>
  </rowItems>
  <colFields count="1">
    <field x="-2"/>
  </colFields>
  <colItems count="2">
    <i>
      <x/>
    </i>
    <i i="1">
      <x v="1"/>
    </i>
  </colItems>
  <dataFields count="2">
    <dataField name="APPLICABLE CONTROLS " fld="2" baseField="0" baseItem="0"/>
    <dataField name="CONTROLS IMPLEMENTED " fld="4" baseField="0" baseItem="0"/>
  </dataFields>
  <formats count="19">
    <format dxfId="53">
      <pivotArea field="0" type="button" dataOnly="0" labelOnly="1" outline="0" axis="axisRow" fieldPosition="0"/>
    </format>
    <format dxfId="52">
      <pivotArea field="1" type="button" dataOnly="0" labelOnly="1" outline="0"/>
    </format>
    <format dxfId="51">
      <pivotArea dataOnly="0" labelOnly="1" outline="0" fieldPosition="0">
        <references count="1">
          <reference field="4294967294" count="2">
            <x v="0"/>
            <x v="1"/>
          </reference>
        </references>
      </pivotArea>
    </format>
    <format dxfId="50">
      <pivotArea field="0" type="button" dataOnly="0" labelOnly="1" outline="0" axis="axisRow" fieldPosition="0"/>
    </format>
    <format dxfId="49">
      <pivotArea field="1" type="button" dataOnly="0" labelOnly="1" outline="0"/>
    </format>
    <format dxfId="48">
      <pivotArea dataOnly="0" labelOnly="1" outline="0" fieldPosition="0">
        <references count="1">
          <reference field="4294967294" count="2">
            <x v="0"/>
            <x v="1"/>
          </reference>
        </references>
      </pivotArea>
    </format>
    <format dxfId="47">
      <pivotArea field="0" type="button" dataOnly="0" labelOnly="1" outline="0" axis="axisRow" fieldPosition="0"/>
    </format>
    <format dxfId="46">
      <pivotArea field="1" type="button" dataOnly="0" labelOnly="1" outline="0"/>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field="1" type="button" dataOnly="0" labelOnly="1" outline="0"/>
    </format>
    <format dxfId="40">
      <pivotArea dataOnly="0" labelOnly="1" outline="0" fieldPosition="0">
        <references count="1">
          <reference field="4294967294" count="2">
            <x v="0"/>
            <x v="1"/>
          </reference>
        </references>
      </pivotArea>
    </format>
    <format dxfId="39">
      <pivotArea type="all" dataOnly="0" outline="0" fieldPosition="0"/>
    </format>
    <format dxfId="38">
      <pivotArea field="0" type="button" dataOnly="0" labelOnly="1" outline="0" axis="axisRow" fieldPosition="0"/>
    </format>
    <format dxfId="37">
      <pivotArea outline="0" collapsedLevelsAreSubtotals="1" fieldPosition="0"/>
    </format>
    <format dxfId="36">
      <pivotArea field="1" type="button" dataOnly="0" labelOnly="1" outline="0"/>
    </format>
    <format dxfId="35">
      <pivotArea dataOnly="0" labelOnly="1" outline="0" fieldPosition="0">
        <references count="1">
          <reference field="4294967294" count="2">
            <x v="0"/>
            <x v="1"/>
          </reference>
        </references>
      </pivotArea>
    </format>
  </formats>
  <chartFormats count="4">
    <chartFormat chart="2" format="31" series="1">
      <pivotArea type="data" outline="0" fieldPosition="0">
        <references count="1">
          <reference field="4294967294" count="1" selected="0">
            <x v="0"/>
          </reference>
        </references>
      </pivotArea>
    </chartFormat>
    <chartFormat chart="2" format="32" series="1">
      <pivotArea type="data" outline="0" fieldPosition="0">
        <references count="1">
          <reference field="4294967294" count="1" selected="0">
            <x v="1"/>
          </reference>
        </references>
      </pivotArea>
    </chartFormat>
    <chartFormat chart="8" format="35" series="1">
      <pivotArea type="data" outline="0" fieldPosition="0">
        <references count="1">
          <reference field="4294967294" count="1" selected="0">
            <x v="0"/>
          </reference>
        </references>
      </pivotArea>
    </chartFormat>
    <chartFormat chart="8" format="3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B51A0-1D29-4E93-B185-2C89C5A979FD}" name="ISO27001%ResultsChart" cacheId="2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9">
  <location ref="B6:D10" firstHeaderRow="0" firstDataRow="1" firstDataCol="1"/>
  <pivotFields count="6">
    <pivotField axis="axisRow" compact="0" outline="0" showAll="0" defaultSubtotal="0">
      <items count="4">
        <item x="0"/>
        <item x="1"/>
        <item x="2"/>
        <item x="3"/>
      </items>
    </pivotField>
    <pivotField compact="0" outline="0" showAll="0" defaultSubtotal="0"/>
    <pivotField compact="0" outline="0" showAll="0" defaultSubtotal="0"/>
    <pivotField dataField="1" compact="0" numFmtId="9" outline="0" showAll="0" defaultSubtotal="0"/>
    <pivotField compact="0" outline="0" showAll="0" defaultSubtotal="0"/>
    <pivotField dataField="1" compact="0" numFmtId="9" outline="0" showAll="0" defaultSubtotal="0"/>
  </pivotFields>
  <rowFields count="1">
    <field x="0"/>
  </rowFields>
  <rowItems count="4">
    <i>
      <x/>
    </i>
    <i>
      <x v="1"/>
    </i>
    <i>
      <x v="2"/>
    </i>
    <i>
      <x v="3"/>
    </i>
  </rowItems>
  <colFields count="1">
    <field x="-2"/>
  </colFields>
  <colItems count="2">
    <i>
      <x/>
    </i>
    <i i="1">
      <x v="1"/>
    </i>
  </colItems>
  <dataFields count="2">
    <dataField name="% APP CONTROLS IMPLEMENTED " fld="5" baseField="0" baseItem="0" numFmtId="9"/>
    <dataField name="% CONTROLS APPLICABLE " fld="3" baseField="0" baseItem="0" numFmtId="9"/>
  </dataFields>
  <formats count="16">
    <format dxfId="34">
      <pivotArea field="0" type="button" dataOnly="0" labelOnly="1" outline="0" axis="axisRow" fieldPosition="0"/>
    </format>
    <format dxfId="33">
      <pivotArea dataOnly="0" labelOnly="1" outline="0" fieldPosition="0">
        <references count="1">
          <reference field="4294967294" count="2">
            <x v="0"/>
            <x v="1"/>
          </reference>
        </references>
      </pivotArea>
    </format>
    <format dxfId="32">
      <pivotArea field="0" type="button" dataOnly="0" labelOnly="1" outline="0" axis="axisRow" fieldPosition="0"/>
    </format>
    <format dxfId="31">
      <pivotArea dataOnly="0" labelOnly="1" outline="0" fieldPosition="0">
        <references count="1">
          <reference field="4294967294" count="2">
            <x v="0"/>
            <x v="1"/>
          </reference>
        </references>
      </pivotArea>
    </format>
    <format dxfId="30">
      <pivotArea outline="0" collapsedLevelsAreSubtotals="1" fieldPosition="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outline="0" fieldPosition="0">
        <references count="1">
          <reference field="0" count="0"/>
        </references>
      </pivotArea>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fieldPosition="0">
        <references count="1">
          <reference field="0" count="0"/>
        </references>
      </pivotArea>
    </format>
    <format dxfId="19">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934ED-2F0B-4A92-9567-739929ED11FF}" name="ISO27001%RadarPivot" cacheId="2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9">
  <location ref="B6:D10" firstHeaderRow="0" firstDataRow="1" firstDataCol="1"/>
  <pivotFields count="6">
    <pivotField axis="axisRow" compact="0" outline="0" showAll="0" defaultSubtotal="0">
      <items count="4">
        <item x="0"/>
        <item x="1"/>
        <item x="2"/>
        <item x="3"/>
      </items>
    </pivotField>
    <pivotField compact="0" outline="0" showAll="0" defaultSubtotal="0"/>
    <pivotField compact="0" outline="0" showAll="0" defaultSubtotal="0"/>
    <pivotField dataField="1" compact="0" numFmtId="9" outline="0" showAll="0" defaultSubtotal="0"/>
    <pivotField compact="0" outline="0" showAll="0" defaultSubtotal="0"/>
    <pivotField dataField="1" compact="0" numFmtId="9" outline="0" showAll="0" defaultSubtotal="0"/>
  </pivotFields>
  <rowFields count="1">
    <field x="0"/>
  </rowFields>
  <rowItems count="4">
    <i>
      <x/>
    </i>
    <i>
      <x v="1"/>
    </i>
    <i>
      <x v="2"/>
    </i>
    <i>
      <x v="3"/>
    </i>
  </rowItems>
  <colFields count="1">
    <field x="-2"/>
  </colFields>
  <colItems count="2">
    <i>
      <x/>
    </i>
    <i i="1">
      <x v="1"/>
    </i>
  </colItems>
  <dataFields count="2">
    <dataField name="% APP CONTROLS IMPLEMENTED " fld="5" baseField="0" baseItem="0" numFmtId="9"/>
    <dataField name="% CONTROLS APPLICABLE " fld="3" baseField="0" baseItem="3" numFmtId="9"/>
  </dataFields>
  <formats count="19">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1"/>
          </reference>
        </references>
      </pivotArea>
    </format>
    <format dxfId="6">
      <pivotArea dataOnly="0" labelOnly="1" outline="0" fieldPosition="0">
        <references count="1">
          <reference field="4294967294" count="2">
            <x v="0"/>
            <x v="1"/>
          </reference>
        </references>
      </pivotArea>
    </format>
    <format dxfId="5">
      <pivotArea field="0" type="button" dataOnly="0" labelOnly="1" outline="0" axis="axisRow" fieldPosition="0"/>
    </format>
    <format dxfId="4">
      <pivotArea dataOnly="0" labelOnly="1" outline="0" fieldPosition="0">
        <references count="1">
          <reference field="4294967294" count="2">
            <x v="0"/>
            <x v="1"/>
          </reference>
        </references>
      </pivotArea>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 dxfId="1">
      <pivotArea field="0" type="button" dataOnly="0" labelOnly="1" outline="0" axis="axisRow" fieldPosition="0"/>
    </format>
    <format dxfId="0">
      <pivotArea dataOnly="0" labelOnly="1" outline="0" fieldPosition="0">
        <references count="1">
          <reference field="4294967294" count="2">
            <x v="0"/>
            <x v="1"/>
          </reference>
        </references>
      </pivotArea>
    </format>
  </formats>
  <chartFormats count="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DB06E7-7D6F-403C-8E3A-F5BBD56971F2}" name="ISO27001ApplicabilityTableResults11" displayName="ISO27001ApplicabilityTableResults11" ref="B13:G18" totalsRowCount="1" headerRowDxfId="83" dataDxfId="82" totalsRowDxfId="81">
  <autoFilter ref="B13:G17" xr:uid="{16E3726A-73C1-41CE-8F46-DBA207B716B6}">
    <filterColumn colId="0" hiddenButton="1"/>
    <filterColumn colId="1" hiddenButton="1"/>
    <filterColumn colId="2" hiddenButton="1"/>
    <filterColumn colId="3" hiddenButton="1"/>
    <filterColumn colId="4" hiddenButton="1"/>
    <filterColumn colId="5" hiddenButton="1"/>
  </autoFilter>
  <tableColumns count="6">
    <tableColumn id="1" xr3:uid="{78F61ACA-E89D-4904-AAA5-6FE1DAED9AED}" name="AREA OF STANDARD" totalsRowLabel="Total" dataDxfId="80" totalsRowDxfId="79"/>
    <tableColumn id="2" xr3:uid="{AE53D220-DA83-4DEB-AE78-2D75A7D2CD21}" name="NO OF CONTROLS" totalsRowFunction="sum" dataDxfId="78" totalsRowDxfId="77"/>
    <tableColumn id="3" xr3:uid="{7FE396D4-21C6-474A-B018-BA5AD64CEA0C}" name="APPLICABLE CONTROLS" totalsRowFunction="sum" dataDxfId="76" totalsRowDxfId="75"/>
    <tableColumn id="4" xr3:uid="{8BED9C7A-B004-4D71-B4CC-05228F107ACA}" name="% CONTROLS APPLICABLE" totalsRowFunction="average" dataDxfId="74" totalsRowDxfId="73">
      <calculatedColumnFormula>ISO27001ApplicabilityTableResults11[[#This Row],[APPLICABLE CONTROLS]]/ISO27001ApplicabilityTableResults11[[#This Row],[NO OF CONTROLS]]</calculatedColumnFormula>
    </tableColumn>
    <tableColumn id="5" xr3:uid="{A620EFC7-FE96-4193-A980-999CE2ECAE1A}" name="CONTROLS IMPLEMENTED" totalsRowFunction="sum" dataDxfId="72" totalsRowDxfId="71"/>
    <tableColumn id="6" xr3:uid="{BA65B6EA-AC70-4181-83DB-08FD4DED54F6}" name="% APP CONTROLS IMPLEMENTED" totalsRowFunction="average" dataDxfId="70" totalsRowDxfId="69" dataCellStyle="Percent">
      <calculatedColumnFormula>IF(D14=0,1,+F14/D14)</calculatedColumnFormula>
    </tableColumn>
  </tableColumns>
  <tableStyleInfo name="CertiKit table styl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FF413-42C5-4FF3-BF4E-50BECADF5A1F}" name="ISO27001ApplicabilityTableResults" displayName="ISO27001ApplicabilityTableResults" ref="B6:G11" totalsRowCount="1" headerRowDxfId="68" dataDxfId="67" totalsRowDxfId="66">
  <autoFilter ref="B6:G10" xr:uid="{8DBDF783-1B2F-40CE-9969-C9849A412C07}">
    <filterColumn colId="0" hiddenButton="1"/>
    <filterColumn colId="1" hiddenButton="1"/>
    <filterColumn colId="2" hiddenButton="1"/>
    <filterColumn colId="3" hiddenButton="1"/>
    <filterColumn colId="4" hiddenButton="1"/>
    <filterColumn colId="5" hiddenButton="1"/>
  </autoFilter>
  <tableColumns count="6">
    <tableColumn id="1" xr3:uid="{159B52E0-703B-49E8-8ECA-AB25675ED429}" name="AREA OF STANDARD" totalsRowLabel="Total" dataDxfId="65" totalsRowDxfId="64"/>
    <tableColumn id="2" xr3:uid="{2D8938BC-98D3-4443-8FC6-877AB5E6F742}" name="NO OF CONTROLS" totalsRowFunction="sum" dataDxfId="63" totalsRowDxfId="62"/>
    <tableColumn id="3" xr3:uid="{716F52A1-0E1F-4C94-9E87-06DB6348E079}" name="APPLICABLE CONTROLS" totalsRowFunction="sum" dataDxfId="61" totalsRowDxfId="60"/>
    <tableColumn id="4" xr3:uid="{68DD5436-2FB5-4027-8CAF-8BBD781BB754}" name="% CONTROLS APPLICABLE" totalsRowFunction="average" dataDxfId="59" totalsRowDxfId="58">
      <calculatedColumnFormula>ISO27001ApplicabilityTableResults[[#This Row],[APPLICABLE CONTROLS]]/ISO27001ApplicabilityTableResults[[#This Row],[NO OF CONTROLS]]</calculatedColumnFormula>
    </tableColumn>
    <tableColumn id="5" xr3:uid="{D7FBC7F4-DEB8-47F3-BDA1-0B0F476FA329}" name="CONTROLS IMPLEMENTED" totalsRowFunction="sum" dataDxfId="57" totalsRowDxfId="56"/>
    <tableColumn id="6" xr3:uid="{66AA482B-B506-48FD-8EF3-E62F5CF59DF3}" name="% APP CONTROLS IMPLEMENTED" totalsRowFunction="average" dataDxfId="55" totalsRowDxfId="54" dataCellStyle="Percent">
      <calculatedColumnFormula>IF(D7=0,1,+F7/D7)</calculatedColumnFormula>
    </tableColumn>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A2:B28"/>
  <sheetViews>
    <sheetView showGridLines="0" tabSelected="1" zoomScaleNormal="100" workbookViewId="0"/>
  </sheetViews>
  <sheetFormatPr defaultRowHeight="15" x14ac:dyDescent="0.25"/>
  <cols>
    <col min="1" max="1" width="2.85546875" style="2" customWidth="1"/>
    <col min="2" max="2" width="94.140625" style="2" customWidth="1"/>
    <col min="3" max="16384" width="9.140625" style="2"/>
  </cols>
  <sheetData>
    <row r="2" spans="1:2" x14ac:dyDescent="0.25">
      <c r="B2" s="3"/>
    </row>
    <row r="3" spans="1:2" x14ac:dyDescent="0.25">
      <c r="B3" s="3"/>
    </row>
    <row r="4" spans="1:2" x14ac:dyDescent="0.25">
      <c r="B4" s="3"/>
    </row>
    <row r="5" spans="1:2" x14ac:dyDescent="0.25">
      <c r="B5" s="3"/>
    </row>
    <row r="6" spans="1:2" x14ac:dyDescent="0.25">
      <c r="B6" s="3"/>
    </row>
    <row r="7" spans="1:2" x14ac:dyDescent="0.25">
      <c r="B7" s="3"/>
    </row>
    <row r="8" spans="1:2" ht="38.25" x14ac:dyDescent="0.25">
      <c r="B8" s="1" t="s">
        <v>3</v>
      </c>
    </row>
    <row r="10" spans="1:2" ht="51" x14ac:dyDescent="0.25">
      <c r="B10" s="1" t="s">
        <v>28</v>
      </c>
    </row>
    <row r="12" spans="1:2" ht="51" x14ac:dyDescent="0.25">
      <c r="B12" s="1" t="s">
        <v>137</v>
      </c>
    </row>
    <row r="14" spans="1:2" ht="81" x14ac:dyDescent="0.25">
      <c r="A14" s="4"/>
      <c r="B14" s="1" t="s">
        <v>27</v>
      </c>
    </row>
    <row r="15" spans="1:2" x14ac:dyDescent="0.25">
      <c r="A15" s="4"/>
      <c r="B15" s="5"/>
    </row>
    <row r="16" spans="1:2" ht="156" x14ac:dyDescent="0.25">
      <c r="B16" s="1" t="s">
        <v>139</v>
      </c>
    </row>
    <row r="18" spans="2:2" ht="41.25" customHeight="1" x14ac:dyDescent="0.25">
      <c r="B18" s="1" t="s">
        <v>15</v>
      </c>
    </row>
    <row r="20" spans="2:2" ht="36" x14ac:dyDescent="0.25">
      <c r="B20" s="1" t="s">
        <v>138</v>
      </c>
    </row>
    <row r="22" spans="2:2" ht="66" x14ac:dyDescent="0.25">
      <c r="B22" s="1" t="s">
        <v>4</v>
      </c>
    </row>
    <row r="24" spans="2:2" ht="96" x14ac:dyDescent="0.25">
      <c r="B24" s="1" t="s">
        <v>5</v>
      </c>
    </row>
    <row r="26" spans="2:2" ht="246" x14ac:dyDescent="0.25">
      <c r="B26" s="1" t="s">
        <v>6</v>
      </c>
    </row>
    <row r="27" spans="2:2" ht="15.75" thickBot="1" x14ac:dyDescent="0.3">
      <c r="B27" s="11"/>
    </row>
    <row r="28" spans="2:2" ht="15.75" thickTop="1" x14ac:dyDescent="0.25"/>
  </sheetData>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7E5C-C17B-4E5F-84AF-3A1DD9B071CA}">
  <dimension ref="B2:E13"/>
  <sheetViews>
    <sheetView showGridLines="0" zoomScaleNormal="100" workbookViewId="0"/>
  </sheetViews>
  <sheetFormatPr defaultRowHeight="15" x14ac:dyDescent="0.25"/>
  <cols>
    <col min="1" max="1" width="2.85546875" style="2" customWidth="1"/>
    <col min="2" max="2" width="22" style="2" customWidth="1"/>
    <col min="3" max="3" width="83.7109375" style="2" customWidth="1"/>
    <col min="4" max="16384" width="9.140625" style="2"/>
  </cols>
  <sheetData>
    <row r="2" spans="2:5" x14ac:dyDescent="0.25">
      <c r="B2" s="3"/>
    </row>
    <row r="3" spans="2:5" x14ac:dyDescent="0.25">
      <c r="B3" s="3"/>
    </row>
    <row r="4" spans="2:5" x14ac:dyDescent="0.25">
      <c r="B4" s="3"/>
    </row>
    <row r="5" spans="2:5" x14ac:dyDescent="0.25">
      <c r="B5" s="3"/>
    </row>
    <row r="6" spans="2:5" x14ac:dyDescent="0.25">
      <c r="B6" s="3"/>
    </row>
    <row r="8" spans="2:5" ht="21" x14ac:dyDescent="0.25">
      <c r="B8" s="7" t="s">
        <v>16</v>
      </c>
      <c r="C8" s="8"/>
    </row>
    <row r="9" spans="2:5" x14ac:dyDescent="0.25">
      <c r="B9" s="9"/>
      <c r="C9" s="8"/>
    </row>
    <row r="10" spans="2:5" ht="30" x14ac:dyDescent="0.25">
      <c r="B10" s="12" t="s">
        <v>7</v>
      </c>
      <c r="C10" s="13"/>
    </row>
    <row r="11" spans="2:5" ht="30" x14ac:dyDescent="0.25">
      <c r="B11" s="12" t="s">
        <v>0</v>
      </c>
      <c r="C11" s="13"/>
      <c r="E11" s="6"/>
    </row>
    <row r="12" spans="2:5" ht="30" x14ac:dyDescent="0.25">
      <c r="B12" s="12" t="s">
        <v>1</v>
      </c>
      <c r="C12" s="13"/>
    </row>
    <row r="13" spans="2:5" ht="30" x14ac:dyDescent="0.25">
      <c r="B13" s="12" t="s">
        <v>2</v>
      </c>
      <c r="C13" s="13"/>
    </row>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&amp;L&amp;D&amp;CPage &amp;P of &amp;N&amp;R[Insert classification]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2B18-38F2-4F6D-AA45-9F8B2CE369B9}">
  <sheetPr>
    <pageSetUpPr fitToPage="1"/>
  </sheetPr>
  <dimension ref="A2:G121"/>
  <sheetViews>
    <sheetView showGridLines="0" workbookViewId="0"/>
  </sheetViews>
  <sheetFormatPr defaultRowHeight="15" x14ac:dyDescent="0.25"/>
  <cols>
    <col min="1" max="1" width="2.85546875" style="1" customWidth="1"/>
    <col min="2" max="2" width="37" style="1" customWidth="1"/>
    <col min="3" max="3" width="76.28515625" style="1" customWidth="1"/>
    <col min="4" max="4" width="12.140625" style="1" customWidth="1"/>
    <col min="5" max="5" width="15" style="1" customWidth="1"/>
    <col min="6" max="6" width="24.42578125" style="1" customWidth="1"/>
    <col min="7" max="7" width="32" style="1" customWidth="1"/>
    <col min="8" max="16384" width="9.140625" style="1"/>
  </cols>
  <sheetData>
    <row r="2" spans="1:7" x14ac:dyDescent="0.25">
      <c r="B2" s="15"/>
    </row>
    <row r="3" spans="1:7" x14ac:dyDescent="0.25">
      <c r="B3" s="15"/>
    </row>
    <row r="4" spans="1:7" x14ac:dyDescent="0.25">
      <c r="B4" s="15"/>
    </row>
    <row r="5" spans="1:7" ht="15.75" x14ac:dyDescent="0.25">
      <c r="B5" s="15"/>
      <c r="F5" s="14"/>
    </row>
    <row r="6" spans="1:7" ht="15.75" x14ac:dyDescent="0.25">
      <c r="B6" s="15"/>
      <c r="F6" s="14"/>
    </row>
    <row r="7" spans="1:7" ht="15.75" x14ac:dyDescent="0.25">
      <c r="B7" s="15"/>
      <c r="F7" s="14" t="s">
        <v>12</v>
      </c>
    </row>
    <row r="8" spans="1:7" ht="21" x14ac:dyDescent="0.25">
      <c r="B8" s="7" t="s">
        <v>13</v>
      </c>
      <c r="F8" s="2" t="s">
        <v>11</v>
      </c>
    </row>
    <row r="9" spans="1:7" ht="15" customHeight="1" x14ac:dyDescent="0.25">
      <c r="B9" s="10" t="s">
        <v>140</v>
      </c>
    </row>
    <row r="10" spans="1:7" ht="15" customHeight="1" x14ac:dyDescent="0.25">
      <c r="B10" s="10"/>
    </row>
    <row r="12" spans="1:7" ht="33.75" customHeight="1" x14ac:dyDescent="0.25">
      <c r="B12" s="23" t="s">
        <v>8</v>
      </c>
      <c r="C12" s="23" t="s">
        <v>17</v>
      </c>
      <c r="D12" s="23" t="s">
        <v>18</v>
      </c>
      <c r="E12" s="23" t="s">
        <v>19</v>
      </c>
      <c r="F12" s="23" t="s">
        <v>20</v>
      </c>
      <c r="G12" s="23" t="s">
        <v>21</v>
      </c>
    </row>
    <row r="14" spans="1:7" ht="18.75" x14ac:dyDescent="0.25">
      <c r="B14" s="22" t="s">
        <v>40</v>
      </c>
    </row>
    <row r="15" spans="1:7" x14ac:dyDescent="0.25">
      <c r="C15" s="1" t="s">
        <v>44</v>
      </c>
      <c r="D15" s="18" t="s">
        <v>9</v>
      </c>
      <c r="E15" s="18" t="s">
        <v>9</v>
      </c>
    </row>
    <row r="16" spans="1:7" x14ac:dyDescent="0.25">
      <c r="A16" s="16"/>
      <c r="C16" s="1" t="s">
        <v>45</v>
      </c>
      <c r="D16" s="18" t="s">
        <v>9</v>
      </c>
      <c r="E16" s="18" t="s">
        <v>9</v>
      </c>
    </row>
    <row r="17" spans="1:5" x14ac:dyDescent="0.25">
      <c r="A17" s="16"/>
      <c r="C17" s="1" t="s">
        <v>46</v>
      </c>
      <c r="D17" s="18" t="s">
        <v>9</v>
      </c>
      <c r="E17" s="18" t="s">
        <v>9</v>
      </c>
    </row>
    <row r="18" spans="1:5" x14ac:dyDescent="0.25">
      <c r="A18" s="16"/>
      <c r="C18" s="1" t="s">
        <v>47</v>
      </c>
      <c r="D18" s="18" t="s">
        <v>9</v>
      </c>
      <c r="E18" s="18" t="s">
        <v>9</v>
      </c>
    </row>
    <row r="19" spans="1:5" x14ac:dyDescent="0.25">
      <c r="A19" s="16"/>
      <c r="C19" s="1" t="s">
        <v>48</v>
      </c>
      <c r="D19" s="18" t="s">
        <v>9</v>
      </c>
      <c r="E19" s="18" t="s">
        <v>9</v>
      </c>
    </row>
    <row r="20" spans="1:5" x14ac:dyDescent="0.25">
      <c r="A20" s="16"/>
      <c r="C20" s="1" t="s">
        <v>49</v>
      </c>
      <c r="D20" s="18" t="s">
        <v>9</v>
      </c>
      <c r="E20" s="18" t="s">
        <v>9</v>
      </c>
    </row>
    <row r="21" spans="1:5" x14ac:dyDescent="0.25">
      <c r="A21" s="16"/>
      <c r="C21" s="1" t="s">
        <v>50</v>
      </c>
      <c r="D21" s="18" t="s">
        <v>9</v>
      </c>
      <c r="E21" s="18" t="s">
        <v>9</v>
      </c>
    </row>
    <row r="22" spans="1:5" x14ac:dyDescent="0.25">
      <c r="A22" s="16"/>
      <c r="C22" s="1" t="s">
        <v>51</v>
      </c>
      <c r="D22" s="18" t="s">
        <v>9</v>
      </c>
      <c r="E22" s="18" t="s">
        <v>9</v>
      </c>
    </row>
    <row r="23" spans="1:5" x14ac:dyDescent="0.25">
      <c r="A23" s="16"/>
      <c r="C23" s="1" t="s">
        <v>52</v>
      </c>
      <c r="D23" s="18" t="s">
        <v>9</v>
      </c>
      <c r="E23" s="18" t="s">
        <v>9</v>
      </c>
    </row>
    <row r="24" spans="1:5" x14ac:dyDescent="0.25">
      <c r="A24" s="16"/>
      <c r="C24" s="1" t="s">
        <v>53</v>
      </c>
      <c r="D24" s="18" t="s">
        <v>9</v>
      </c>
      <c r="E24" s="18" t="s">
        <v>9</v>
      </c>
    </row>
    <row r="25" spans="1:5" x14ac:dyDescent="0.25">
      <c r="A25" s="16"/>
      <c r="C25" s="1" t="s">
        <v>54</v>
      </c>
      <c r="D25" s="18" t="s">
        <v>9</v>
      </c>
      <c r="E25" s="18" t="s">
        <v>9</v>
      </c>
    </row>
    <row r="26" spans="1:5" x14ac:dyDescent="0.25">
      <c r="A26" s="16"/>
      <c r="C26" s="1" t="s">
        <v>55</v>
      </c>
      <c r="D26" s="18" t="s">
        <v>9</v>
      </c>
      <c r="E26" s="18" t="s">
        <v>9</v>
      </c>
    </row>
    <row r="27" spans="1:5" x14ac:dyDescent="0.25">
      <c r="A27" s="16"/>
      <c r="C27" s="1" t="s">
        <v>56</v>
      </c>
      <c r="D27" s="18" t="s">
        <v>9</v>
      </c>
      <c r="E27" s="18" t="s">
        <v>9</v>
      </c>
    </row>
    <row r="28" spans="1:5" x14ac:dyDescent="0.25">
      <c r="A28" s="16"/>
      <c r="C28" s="1" t="s">
        <v>57</v>
      </c>
      <c r="D28" s="18" t="s">
        <v>9</v>
      </c>
      <c r="E28" s="18" t="s">
        <v>9</v>
      </c>
    </row>
    <row r="29" spans="1:5" x14ac:dyDescent="0.25">
      <c r="A29" s="16"/>
      <c r="C29" s="1" t="s">
        <v>58</v>
      </c>
      <c r="D29" s="18" t="s">
        <v>9</v>
      </c>
      <c r="E29" s="18" t="s">
        <v>9</v>
      </c>
    </row>
    <row r="30" spans="1:5" x14ac:dyDescent="0.25">
      <c r="A30" s="16"/>
      <c r="C30" s="1" t="s">
        <v>59</v>
      </c>
      <c r="D30" s="18" t="s">
        <v>9</v>
      </c>
      <c r="E30" s="18" t="s">
        <v>9</v>
      </c>
    </row>
    <row r="31" spans="1:5" x14ac:dyDescent="0.25">
      <c r="A31" s="16"/>
      <c r="C31" s="1" t="s">
        <v>60</v>
      </c>
      <c r="D31" s="18" t="s">
        <v>9</v>
      </c>
      <c r="E31" s="18" t="s">
        <v>9</v>
      </c>
    </row>
    <row r="32" spans="1:5" x14ac:dyDescent="0.25">
      <c r="A32" s="16"/>
      <c r="C32" s="1" t="s">
        <v>61</v>
      </c>
      <c r="D32" s="18" t="s">
        <v>9</v>
      </c>
      <c r="E32" s="18" t="s">
        <v>9</v>
      </c>
    </row>
    <row r="33" spans="1:5" x14ac:dyDescent="0.25">
      <c r="A33" s="16"/>
      <c r="C33" s="1" t="s">
        <v>62</v>
      </c>
      <c r="D33" s="18" t="s">
        <v>9</v>
      </c>
      <c r="E33" s="18" t="s">
        <v>9</v>
      </c>
    </row>
    <row r="34" spans="1:5" x14ac:dyDescent="0.25">
      <c r="A34" s="16"/>
      <c r="C34" s="1" t="s">
        <v>63</v>
      </c>
      <c r="D34" s="18" t="s">
        <v>9</v>
      </c>
      <c r="E34" s="18" t="s">
        <v>9</v>
      </c>
    </row>
    <row r="35" spans="1:5" x14ac:dyDescent="0.25">
      <c r="A35" s="16"/>
      <c r="C35" s="1" t="s">
        <v>64</v>
      </c>
      <c r="D35" s="18" t="s">
        <v>9</v>
      </c>
      <c r="E35" s="18" t="s">
        <v>9</v>
      </c>
    </row>
    <row r="36" spans="1:5" x14ac:dyDescent="0.25">
      <c r="A36" s="16"/>
      <c r="C36" s="1" t="s">
        <v>65</v>
      </c>
      <c r="D36" s="18" t="s">
        <v>9</v>
      </c>
      <c r="E36" s="18" t="s">
        <v>9</v>
      </c>
    </row>
    <row r="37" spans="1:5" x14ac:dyDescent="0.25">
      <c r="A37" s="16"/>
      <c r="C37" s="1" t="s">
        <v>66</v>
      </c>
      <c r="D37" s="18" t="s">
        <v>9</v>
      </c>
      <c r="E37" s="18" t="s">
        <v>9</v>
      </c>
    </row>
    <row r="38" spans="1:5" x14ac:dyDescent="0.25">
      <c r="A38" s="16"/>
      <c r="C38" s="1" t="s">
        <v>67</v>
      </c>
      <c r="D38" s="18" t="s">
        <v>9</v>
      </c>
      <c r="E38" s="18" t="s">
        <v>9</v>
      </c>
    </row>
    <row r="39" spans="1:5" x14ac:dyDescent="0.25">
      <c r="A39" s="16"/>
      <c r="C39" s="1" t="s">
        <v>68</v>
      </c>
      <c r="D39" s="18" t="s">
        <v>9</v>
      </c>
      <c r="E39" s="18" t="s">
        <v>9</v>
      </c>
    </row>
    <row r="40" spans="1:5" x14ac:dyDescent="0.25">
      <c r="A40" s="16"/>
      <c r="C40" s="1" t="s">
        <v>69</v>
      </c>
      <c r="D40" s="18" t="s">
        <v>9</v>
      </c>
      <c r="E40" s="18" t="s">
        <v>9</v>
      </c>
    </row>
    <row r="41" spans="1:5" x14ac:dyDescent="0.25">
      <c r="A41" s="16"/>
      <c r="C41" s="1" t="s">
        <v>70</v>
      </c>
      <c r="D41" s="18" t="s">
        <v>9</v>
      </c>
      <c r="E41" s="18" t="s">
        <v>9</v>
      </c>
    </row>
    <row r="42" spans="1:5" x14ac:dyDescent="0.25">
      <c r="A42" s="16"/>
      <c r="C42" s="1" t="s">
        <v>71</v>
      </c>
      <c r="D42" s="18" t="s">
        <v>9</v>
      </c>
      <c r="E42" s="18" t="s">
        <v>9</v>
      </c>
    </row>
    <row r="43" spans="1:5" x14ac:dyDescent="0.25">
      <c r="A43" s="16"/>
      <c r="C43" s="1" t="s">
        <v>72</v>
      </c>
      <c r="D43" s="18" t="s">
        <v>9</v>
      </c>
      <c r="E43" s="18" t="s">
        <v>9</v>
      </c>
    </row>
    <row r="44" spans="1:5" x14ac:dyDescent="0.25">
      <c r="A44" s="16"/>
      <c r="C44" s="1" t="s">
        <v>73</v>
      </c>
      <c r="D44" s="18" t="s">
        <v>9</v>
      </c>
      <c r="E44" s="18" t="s">
        <v>9</v>
      </c>
    </row>
    <row r="45" spans="1:5" x14ac:dyDescent="0.25">
      <c r="A45" s="16"/>
      <c r="C45" s="1" t="s">
        <v>74</v>
      </c>
      <c r="D45" s="18" t="s">
        <v>9</v>
      </c>
      <c r="E45" s="18" t="s">
        <v>9</v>
      </c>
    </row>
    <row r="46" spans="1:5" x14ac:dyDescent="0.25">
      <c r="A46" s="16"/>
      <c r="C46" s="1" t="s">
        <v>75</v>
      </c>
      <c r="D46" s="18" t="s">
        <v>9</v>
      </c>
      <c r="E46" s="18" t="s">
        <v>9</v>
      </c>
    </row>
    <row r="47" spans="1:5" x14ac:dyDescent="0.25">
      <c r="A47" s="16"/>
      <c r="C47" s="1" t="s">
        <v>76</v>
      </c>
      <c r="D47" s="18" t="s">
        <v>9</v>
      </c>
      <c r="E47" s="18" t="s">
        <v>9</v>
      </c>
    </row>
    <row r="48" spans="1:5" x14ac:dyDescent="0.25">
      <c r="A48" s="16"/>
      <c r="C48" s="1" t="s">
        <v>77</v>
      </c>
      <c r="D48" s="18" t="s">
        <v>9</v>
      </c>
      <c r="E48" s="18" t="s">
        <v>9</v>
      </c>
    </row>
    <row r="49" spans="1:7" x14ac:dyDescent="0.25">
      <c r="A49" s="16"/>
      <c r="C49" s="1" t="s">
        <v>78</v>
      </c>
      <c r="D49" s="18" t="s">
        <v>9</v>
      </c>
      <c r="E49" s="18" t="s">
        <v>9</v>
      </c>
    </row>
    <row r="50" spans="1:7" x14ac:dyDescent="0.25">
      <c r="A50" s="16"/>
      <c r="C50" s="1" t="s">
        <v>79</v>
      </c>
      <c r="D50" s="18" t="s">
        <v>9</v>
      </c>
      <c r="E50" s="18" t="s">
        <v>9</v>
      </c>
    </row>
    <row r="51" spans="1:7" x14ac:dyDescent="0.25">
      <c r="A51" s="16"/>
      <c r="C51" s="1" t="s">
        <v>80</v>
      </c>
      <c r="D51" s="18" t="s">
        <v>9</v>
      </c>
      <c r="E51" s="18" t="s">
        <v>9</v>
      </c>
    </row>
    <row r="53" spans="1:7" x14ac:dyDescent="0.25">
      <c r="B53" s="17"/>
      <c r="C53" s="19" t="s">
        <v>10</v>
      </c>
      <c r="D53" s="20">
        <f>+COUNTIF(D15:D51,"Yes")</f>
        <v>37</v>
      </c>
      <c r="E53" s="20">
        <f>+COUNTIF(E15:E51,"Yes")</f>
        <v>37</v>
      </c>
      <c r="F53" s="17"/>
      <c r="G53" s="17"/>
    </row>
    <row r="55" spans="1:7" ht="18.75" x14ac:dyDescent="0.25">
      <c r="B55" s="22" t="s">
        <v>41</v>
      </c>
    </row>
    <row r="56" spans="1:7" x14ac:dyDescent="0.25">
      <c r="C56" s="1" t="s">
        <v>81</v>
      </c>
      <c r="D56" s="18" t="s">
        <v>9</v>
      </c>
      <c r="E56" s="18" t="s">
        <v>9</v>
      </c>
    </row>
    <row r="57" spans="1:7" x14ac:dyDescent="0.25">
      <c r="C57" s="1" t="s">
        <v>82</v>
      </c>
      <c r="D57" s="18" t="s">
        <v>9</v>
      </c>
      <c r="E57" s="18" t="s">
        <v>9</v>
      </c>
    </row>
    <row r="58" spans="1:7" x14ac:dyDescent="0.25">
      <c r="C58" s="1" t="s">
        <v>83</v>
      </c>
      <c r="D58" s="18" t="s">
        <v>9</v>
      </c>
      <c r="E58" s="18" t="s">
        <v>9</v>
      </c>
    </row>
    <row r="59" spans="1:7" x14ac:dyDescent="0.25">
      <c r="C59" s="1" t="s">
        <v>84</v>
      </c>
      <c r="D59" s="18" t="s">
        <v>9</v>
      </c>
      <c r="E59" s="18" t="s">
        <v>9</v>
      </c>
    </row>
    <row r="60" spans="1:7" x14ac:dyDescent="0.25">
      <c r="C60" s="1" t="s">
        <v>85</v>
      </c>
      <c r="D60" s="18" t="s">
        <v>9</v>
      </c>
      <c r="E60" s="18" t="s">
        <v>9</v>
      </c>
    </row>
    <row r="61" spans="1:7" x14ac:dyDescent="0.25">
      <c r="C61" s="1" t="s">
        <v>86</v>
      </c>
      <c r="D61" s="18" t="s">
        <v>9</v>
      </c>
      <c r="E61" s="18" t="s">
        <v>9</v>
      </c>
    </row>
    <row r="62" spans="1:7" x14ac:dyDescent="0.25">
      <c r="C62" s="1" t="s">
        <v>87</v>
      </c>
      <c r="D62" s="18" t="s">
        <v>9</v>
      </c>
      <c r="E62" s="18" t="s">
        <v>9</v>
      </c>
    </row>
    <row r="63" spans="1:7" x14ac:dyDescent="0.25">
      <c r="C63" s="1" t="s">
        <v>88</v>
      </c>
      <c r="D63" s="18" t="s">
        <v>9</v>
      </c>
      <c r="E63" s="18" t="s">
        <v>9</v>
      </c>
    </row>
    <row r="65" spans="2:7" x14ac:dyDescent="0.25">
      <c r="B65" s="17"/>
      <c r="C65" s="19" t="s">
        <v>10</v>
      </c>
      <c r="D65" s="20">
        <f>+COUNTIF(D56:D63,"Yes")</f>
        <v>8</v>
      </c>
      <c r="E65" s="20">
        <f>+COUNTIF(E56:E63,"Yes")</f>
        <v>8</v>
      </c>
      <c r="F65" s="17"/>
      <c r="G65" s="17"/>
    </row>
    <row r="67" spans="2:7" ht="18.75" x14ac:dyDescent="0.25">
      <c r="B67" s="22" t="s">
        <v>42</v>
      </c>
    </row>
    <row r="68" spans="2:7" ht="15" customHeight="1" x14ac:dyDescent="0.25">
      <c r="B68" s="22"/>
      <c r="C68" s="1" t="s">
        <v>89</v>
      </c>
      <c r="D68" s="18" t="s">
        <v>9</v>
      </c>
      <c r="E68" s="18" t="s">
        <v>9</v>
      </c>
    </row>
    <row r="69" spans="2:7" ht="15" customHeight="1" x14ac:dyDescent="0.25">
      <c r="B69" s="22"/>
      <c r="C69" s="1" t="s">
        <v>90</v>
      </c>
      <c r="D69" s="18" t="s">
        <v>9</v>
      </c>
      <c r="E69" s="18" t="s">
        <v>9</v>
      </c>
    </row>
    <row r="70" spans="2:7" ht="15" customHeight="1" x14ac:dyDescent="0.25">
      <c r="B70" s="22"/>
      <c r="C70" s="1" t="s">
        <v>91</v>
      </c>
      <c r="D70" s="18" t="s">
        <v>9</v>
      </c>
      <c r="E70" s="18" t="s">
        <v>9</v>
      </c>
    </row>
    <row r="71" spans="2:7" ht="15" customHeight="1" x14ac:dyDescent="0.25">
      <c r="B71" s="22"/>
      <c r="C71" s="1" t="s">
        <v>92</v>
      </c>
      <c r="D71" s="18" t="s">
        <v>9</v>
      </c>
      <c r="E71" s="18" t="s">
        <v>9</v>
      </c>
    </row>
    <row r="72" spans="2:7" ht="15" customHeight="1" x14ac:dyDescent="0.25">
      <c r="B72" s="22"/>
      <c r="C72" s="1" t="s">
        <v>93</v>
      </c>
      <c r="D72" s="18" t="s">
        <v>9</v>
      </c>
      <c r="E72" s="18" t="s">
        <v>9</v>
      </c>
    </row>
    <row r="73" spans="2:7" ht="15" customHeight="1" x14ac:dyDescent="0.25">
      <c r="B73" s="22"/>
      <c r="C73" s="1" t="s">
        <v>94</v>
      </c>
      <c r="D73" s="18" t="s">
        <v>9</v>
      </c>
      <c r="E73" s="18" t="s">
        <v>9</v>
      </c>
    </row>
    <row r="74" spans="2:7" ht="15" customHeight="1" x14ac:dyDescent="0.25">
      <c r="C74" s="1" t="s">
        <v>95</v>
      </c>
      <c r="D74" s="18" t="s">
        <v>9</v>
      </c>
      <c r="E74" s="18" t="s">
        <v>9</v>
      </c>
    </row>
    <row r="75" spans="2:7" ht="15" customHeight="1" x14ac:dyDescent="0.25">
      <c r="C75" s="1" t="s">
        <v>96</v>
      </c>
      <c r="D75" s="18" t="s">
        <v>9</v>
      </c>
      <c r="E75" s="18" t="s">
        <v>9</v>
      </c>
    </row>
    <row r="76" spans="2:7" ht="15" customHeight="1" x14ac:dyDescent="0.25">
      <c r="C76" s="1" t="s">
        <v>97</v>
      </c>
      <c r="D76" s="18" t="s">
        <v>9</v>
      </c>
      <c r="E76" s="18" t="s">
        <v>9</v>
      </c>
    </row>
    <row r="77" spans="2:7" ht="15" customHeight="1" x14ac:dyDescent="0.25">
      <c r="C77" s="1" t="s">
        <v>98</v>
      </c>
      <c r="D77" s="18" t="s">
        <v>9</v>
      </c>
      <c r="E77" s="18" t="s">
        <v>9</v>
      </c>
    </row>
    <row r="78" spans="2:7" ht="15" customHeight="1" x14ac:dyDescent="0.25">
      <c r="C78" s="1" t="s">
        <v>99</v>
      </c>
      <c r="D78" s="18" t="s">
        <v>9</v>
      </c>
      <c r="E78" s="18" t="s">
        <v>9</v>
      </c>
    </row>
    <row r="79" spans="2:7" ht="15" customHeight="1" x14ac:dyDescent="0.25">
      <c r="C79" s="1" t="s">
        <v>100</v>
      </c>
      <c r="D79" s="18" t="s">
        <v>9</v>
      </c>
      <c r="E79" s="18" t="s">
        <v>9</v>
      </c>
    </row>
    <row r="80" spans="2:7" ht="15" customHeight="1" x14ac:dyDescent="0.25">
      <c r="C80" s="1" t="s">
        <v>101</v>
      </c>
      <c r="D80" s="18" t="s">
        <v>9</v>
      </c>
      <c r="E80" s="18" t="s">
        <v>9</v>
      </c>
    </row>
    <row r="81" spans="2:7" ht="15" customHeight="1" x14ac:dyDescent="0.25">
      <c r="C81" s="1" t="s">
        <v>102</v>
      </c>
      <c r="D81" s="18" t="s">
        <v>9</v>
      </c>
      <c r="E81" s="18" t="s">
        <v>9</v>
      </c>
    </row>
    <row r="83" spans="2:7" x14ac:dyDescent="0.25">
      <c r="B83" s="17"/>
      <c r="C83" s="19" t="s">
        <v>10</v>
      </c>
      <c r="D83" s="20">
        <f>+COUNTIF(D68:D81,"Yes")</f>
        <v>14</v>
      </c>
      <c r="E83" s="20">
        <f>+COUNTIF(E68:E81,"Yes")</f>
        <v>14</v>
      </c>
      <c r="F83" s="17"/>
      <c r="G83" s="17"/>
    </row>
    <row r="85" spans="2:7" ht="18.75" x14ac:dyDescent="0.25">
      <c r="B85" s="22" t="s">
        <v>43</v>
      </c>
    </row>
    <row r="86" spans="2:7" ht="15" customHeight="1" x14ac:dyDescent="0.25">
      <c r="B86" s="22"/>
      <c r="C86" s="1" t="s">
        <v>103</v>
      </c>
      <c r="D86" s="18" t="s">
        <v>9</v>
      </c>
      <c r="E86" s="18" t="s">
        <v>9</v>
      </c>
    </row>
    <row r="87" spans="2:7" ht="15" customHeight="1" x14ac:dyDescent="0.25">
      <c r="B87" s="22"/>
      <c r="C87" s="1" t="s">
        <v>104</v>
      </c>
      <c r="D87" s="18" t="s">
        <v>9</v>
      </c>
      <c r="E87" s="18" t="s">
        <v>9</v>
      </c>
    </row>
    <row r="88" spans="2:7" ht="15" customHeight="1" x14ac:dyDescent="0.25">
      <c r="B88" s="22"/>
      <c r="C88" s="1" t="s">
        <v>105</v>
      </c>
      <c r="D88" s="18" t="s">
        <v>9</v>
      </c>
      <c r="E88" s="18" t="s">
        <v>9</v>
      </c>
    </row>
    <row r="89" spans="2:7" ht="15" customHeight="1" x14ac:dyDescent="0.25">
      <c r="B89" s="22"/>
      <c r="C89" s="1" t="s">
        <v>106</v>
      </c>
      <c r="D89" s="18" t="s">
        <v>9</v>
      </c>
      <c r="E89" s="18" t="s">
        <v>9</v>
      </c>
    </row>
    <row r="90" spans="2:7" ht="15" customHeight="1" x14ac:dyDescent="0.25">
      <c r="B90" s="22"/>
      <c r="C90" s="1" t="s">
        <v>107</v>
      </c>
      <c r="D90" s="18" t="s">
        <v>9</v>
      </c>
      <c r="E90" s="18" t="s">
        <v>9</v>
      </c>
    </row>
    <row r="91" spans="2:7" ht="15" customHeight="1" x14ac:dyDescent="0.25">
      <c r="B91" s="22"/>
      <c r="C91" s="1" t="s">
        <v>108</v>
      </c>
      <c r="D91" s="18" t="s">
        <v>9</v>
      </c>
      <c r="E91" s="18" t="s">
        <v>9</v>
      </c>
    </row>
    <row r="92" spans="2:7" ht="15" customHeight="1" x14ac:dyDescent="0.25">
      <c r="B92" s="22"/>
      <c r="C92" s="1" t="s">
        <v>109</v>
      </c>
      <c r="D92" s="18" t="s">
        <v>9</v>
      </c>
      <c r="E92" s="18" t="s">
        <v>9</v>
      </c>
    </row>
    <row r="93" spans="2:7" ht="15" customHeight="1" x14ac:dyDescent="0.25">
      <c r="B93" s="22"/>
      <c r="C93" s="1" t="s">
        <v>110</v>
      </c>
      <c r="D93" s="18" t="s">
        <v>9</v>
      </c>
      <c r="E93" s="18" t="s">
        <v>9</v>
      </c>
    </row>
    <row r="94" spans="2:7" ht="15" customHeight="1" x14ac:dyDescent="0.25">
      <c r="B94" s="22"/>
      <c r="C94" s="1" t="s">
        <v>111</v>
      </c>
      <c r="D94" s="18" t="s">
        <v>9</v>
      </c>
      <c r="E94" s="18" t="s">
        <v>9</v>
      </c>
    </row>
    <row r="95" spans="2:7" ht="15" customHeight="1" x14ac:dyDescent="0.25">
      <c r="B95" s="22"/>
      <c r="C95" s="1" t="s">
        <v>112</v>
      </c>
      <c r="D95" s="18" t="s">
        <v>9</v>
      </c>
      <c r="E95" s="18" t="s">
        <v>9</v>
      </c>
    </row>
    <row r="96" spans="2:7" ht="15" customHeight="1" x14ac:dyDescent="0.25">
      <c r="B96" s="22"/>
      <c r="C96" s="1" t="s">
        <v>113</v>
      </c>
      <c r="D96" s="18" t="s">
        <v>9</v>
      </c>
      <c r="E96" s="18" t="s">
        <v>9</v>
      </c>
    </row>
    <row r="97" spans="2:5" ht="15" customHeight="1" x14ac:dyDescent="0.25">
      <c r="B97" s="22"/>
      <c r="C97" s="1" t="s">
        <v>114</v>
      </c>
      <c r="D97" s="18" t="s">
        <v>9</v>
      </c>
      <c r="E97" s="18" t="s">
        <v>9</v>
      </c>
    </row>
    <row r="98" spans="2:5" ht="15" customHeight="1" x14ac:dyDescent="0.25">
      <c r="B98" s="22"/>
      <c r="C98" s="1" t="s">
        <v>115</v>
      </c>
      <c r="D98" s="18" t="s">
        <v>9</v>
      </c>
      <c r="E98" s="18" t="s">
        <v>9</v>
      </c>
    </row>
    <row r="99" spans="2:5" ht="15" customHeight="1" x14ac:dyDescent="0.25">
      <c r="B99" s="22"/>
      <c r="C99" s="1" t="s">
        <v>116</v>
      </c>
      <c r="D99" s="18" t="s">
        <v>9</v>
      </c>
      <c r="E99" s="18" t="s">
        <v>9</v>
      </c>
    </row>
    <row r="100" spans="2:5" ht="15" customHeight="1" x14ac:dyDescent="0.25">
      <c r="B100" s="22"/>
      <c r="C100" s="1" t="s">
        <v>117</v>
      </c>
      <c r="D100" s="18" t="s">
        <v>9</v>
      </c>
      <c r="E100" s="18" t="s">
        <v>9</v>
      </c>
    </row>
    <row r="101" spans="2:5" ht="15" customHeight="1" x14ac:dyDescent="0.25">
      <c r="B101" s="22"/>
      <c r="C101" s="1" t="s">
        <v>118</v>
      </c>
      <c r="D101" s="18" t="s">
        <v>9</v>
      </c>
      <c r="E101" s="18" t="s">
        <v>9</v>
      </c>
    </row>
    <row r="102" spans="2:5" ht="15" customHeight="1" x14ac:dyDescent="0.25">
      <c r="B102" s="22"/>
      <c r="C102" s="1" t="s">
        <v>119</v>
      </c>
      <c r="D102" s="18" t="s">
        <v>9</v>
      </c>
      <c r="E102" s="18" t="s">
        <v>9</v>
      </c>
    </row>
    <row r="103" spans="2:5" ht="15" customHeight="1" x14ac:dyDescent="0.25">
      <c r="B103" s="22"/>
      <c r="C103" s="1" t="s">
        <v>120</v>
      </c>
      <c r="D103" s="18" t="s">
        <v>9</v>
      </c>
      <c r="E103" s="18" t="s">
        <v>9</v>
      </c>
    </row>
    <row r="104" spans="2:5" ht="15" customHeight="1" x14ac:dyDescent="0.25">
      <c r="B104" s="22"/>
      <c r="C104" s="1" t="s">
        <v>121</v>
      </c>
      <c r="D104" s="18" t="s">
        <v>9</v>
      </c>
      <c r="E104" s="18" t="s">
        <v>9</v>
      </c>
    </row>
    <row r="105" spans="2:5" ht="15" customHeight="1" x14ac:dyDescent="0.25">
      <c r="B105" s="22"/>
      <c r="C105" s="1" t="s">
        <v>122</v>
      </c>
      <c r="D105" s="18" t="s">
        <v>9</v>
      </c>
      <c r="E105" s="18" t="s">
        <v>9</v>
      </c>
    </row>
    <row r="106" spans="2:5" ht="15" customHeight="1" x14ac:dyDescent="0.25">
      <c r="B106" s="22"/>
      <c r="C106" s="1" t="s">
        <v>123</v>
      </c>
      <c r="D106" s="18" t="s">
        <v>9</v>
      </c>
      <c r="E106" s="18" t="s">
        <v>9</v>
      </c>
    </row>
    <row r="107" spans="2:5" ht="15" customHeight="1" x14ac:dyDescent="0.25">
      <c r="B107" s="22"/>
      <c r="C107" s="1" t="s">
        <v>124</v>
      </c>
      <c r="D107" s="18" t="s">
        <v>9</v>
      </c>
      <c r="E107" s="18" t="s">
        <v>9</v>
      </c>
    </row>
    <row r="108" spans="2:5" ht="15" customHeight="1" x14ac:dyDescent="0.25">
      <c r="B108" s="22"/>
      <c r="C108" s="1" t="s">
        <v>125</v>
      </c>
      <c r="D108" s="18" t="s">
        <v>9</v>
      </c>
      <c r="E108" s="18" t="s">
        <v>9</v>
      </c>
    </row>
    <row r="109" spans="2:5" ht="15" customHeight="1" x14ac:dyDescent="0.25">
      <c r="B109" s="22"/>
      <c r="C109" s="1" t="s">
        <v>126</v>
      </c>
      <c r="D109" s="18" t="s">
        <v>9</v>
      </c>
      <c r="E109" s="18" t="s">
        <v>9</v>
      </c>
    </row>
    <row r="110" spans="2:5" ht="15" customHeight="1" x14ac:dyDescent="0.25">
      <c r="B110" s="22"/>
      <c r="C110" s="1" t="s">
        <v>127</v>
      </c>
      <c r="D110" s="18" t="s">
        <v>9</v>
      </c>
      <c r="E110" s="18" t="s">
        <v>9</v>
      </c>
    </row>
    <row r="111" spans="2:5" ht="15" customHeight="1" x14ac:dyDescent="0.25">
      <c r="B111" s="22"/>
      <c r="C111" s="1" t="s">
        <v>128</v>
      </c>
      <c r="D111" s="18" t="s">
        <v>9</v>
      </c>
      <c r="E111" s="18" t="s">
        <v>9</v>
      </c>
    </row>
    <row r="112" spans="2:5" ht="15" customHeight="1" x14ac:dyDescent="0.25">
      <c r="B112" s="22"/>
      <c r="C112" s="1" t="s">
        <v>129</v>
      </c>
      <c r="D112" s="18" t="s">
        <v>9</v>
      </c>
      <c r="E112" s="18" t="s">
        <v>9</v>
      </c>
    </row>
    <row r="113" spans="2:7" ht="15" customHeight="1" x14ac:dyDescent="0.25">
      <c r="B113" s="22"/>
      <c r="C113" s="1" t="s">
        <v>130</v>
      </c>
      <c r="D113" s="18" t="s">
        <v>9</v>
      </c>
      <c r="E113" s="18" t="s">
        <v>9</v>
      </c>
    </row>
    <row r="114" spans="2:7" ht="15" customHeight="1" x14ac:dyDescent="0.25">
      <c r="B114" s="22"/>
      <c r="C114" s="1" t="s">
        <v>131</v>
      </c>
      <c r="D114" s="18" t="s">
        <v>9</v>
      </c>
      <c r="E114" s="18" t="s">
        <v>9</v>
      </c>
    </row>
    <row r="115" spans="2:7" ht="15" customHeight="1" x14ac:dyDescent="0.25">
      <c r="B115" s="22"/>
      <c r="C115" s="1" t="s">
        <v>132</v>
      </c>
      <c r="D115" s="18" t="s">
        <v>9</v>
      </c>
      <c r="E115" s="18" t="s">
        <v>9</v>
      </c>
    </row>
    <row r="116" spans="2:7" ht="15" customHeight="1" x14ac:dyDescent="0.25">
      <c r="C116" s="1" t="s">
        <v>133</v>
      </c>
      <c r="D116" s="18" t="s">
        <v>9</v>
      </c>
      <c r="E116" s="18" t="s">
        <v>9</v>
      </c>
    </row>
    <row r="117" spans="2:7" ht="15" customHeight="1" x14ac:dyDescent="0.25">
      <c r="C117" s="1" t="s">
        <v>134</v>
      </c>
      <c r="D117" s="18" t="s">
        <v>9</v>
      </c>
      <c r="E117" s="18" t="s">
        <v>9</v>
      </c>
    </row>
    <row r="118" spans="2:7" ht="15" customHeight="1" x14ac:dyDescent="0.25">
      <c r="C118" s="1" t="s">
        <v>135</v>
      </c>
      <c r="D118" s="18" t="s">
        <v>9</v>
      </c>
      <c r="E118" s="18" t="s">
        <v>9</v>
      </c>
    </row>
    <row r="119" spans="2:7" ht="15" customHeight="1" x14ac:dyDescent="0.25">
      <c r="C119" s="1" t="s">
        <v>136</v>
      </c>
      <c r="D119" s="18" t="s">
        <v>9</v>
      </c>
      <c r="E119" s="18" t="s">
        <v>9</v>
      </c>
    </row>
    <row r="121" spans="2:7" x14ac:dyDescent="0.25">
      <c r="B121" s="17"/>
      <c r="C121" s="19" t="s">
        <v>10</v>
      </c>
      <c r="D121" s="20">
        <f>+COUNTIF(D86:D119,"Yes")</f>
        <v>34</v>
      </c>
      <c r="E121" s="20">
        <f>+COUNTIF(E86:E119,"Yes")</f>
        <v>34</v>
      </c>
      <c r="F121" s="17"/>
      <c r="G121" s="17"/>
    </row>
  </sheetData>
  <dataValidations count="1">
    <dataValidation type="list" allowBlank="1" showInputMessage="1" showErrorMessage="1" sqref="D15:E51 D56:E63 D68:E81 D86:E119" xr:uid="{86130246-2006-4A66-B1D3-2E754C25AD1E}">
      <formula1>"Yes,No"</formula1>
    </dataValidation>
  </dataValidations>
  <pageMargins left="0.70866141732283472" right="0.70866141732283472" top="0.74803149606299213" bottom="0.74803149606299213" header="0.31496062992125984" footer="0.31496062992125984"/>
  <pageSetup paperSize="9" scale="64" fitToHeight="0" orientation="landscape" horizontalDpi="1200" verticalDpi="1200" r:id="rId1"/>
  <headerFooter>
    <oddFooter>&amp;L&amp;D&amp;CPage &amp;P of &amp;N&amp;R[Insert classification]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9251-5F92-467A-B59C-45BE7C5B9F60}">
  <sheetPr>
    <pageSetUpPr fitToPage="1"/>
  </sheetPr>
  <dimension ref="A2:AH44"/>
  <sheetViews>
    <sheetView showGridLines="0" zoomScaleNormal="100" workbookViewId="0"/>
  </sheetViews>
  <sheetFormatPr defaultRowHeight="15" x14ac:dyDescent="0.25"/>
  <cols>
    <col min="1" max="1" width="2.85546875" style="2" customWidth="1"/>
    <col min="2" max="2" width="65.7109375" style="2" customWidth="1"/>
    <col min="3" max="6" width="15.7109375" style="2" customWidth="1"/>
    <col min="7" max="7" width="18.7109375" style="2" customWidth="1"/>
    <col min="8" max="8" width="5.7109375" style="2" customWidth="1"/>
    <col min="9" max="16384" width="9.140625" style="2"/>
  </cols>
  <sheetData>
    <row r="2" spans="2:34" x14ac:dyDescent="0.25">
      <c r="B2" s="3"/>
    </row>
    <row r="3" spans="2:34" x14ac:dyDescent="0.25">
      <c r="B3" s="3"/>
    </row>
    <row r="4" spans="2:34" x14ac:dyDescent="0.25">
      <c r="B4" s="3"/>
    </row>
    <row r="5" spans="2:34" x14ac:dyDescent="0.25">
      <c r="B5" s="3"/>
    </row>
    <row r="6" spans="2:34" x14ac:dyDescent="0.25">
      <c r="B6" s="3"/>
    </row>
    <row r="7" spans="2:34" x14ac:dyDescent="0.25">
      <c r="B7" s="3"/>
    </row>
    <row r="8" spans="2:34" customFormat="1" ht="21" x14ac:dyDescent="0.35">
      <c r="B8" s="64" t="s">
        <v>141</v>
      </c>
      <c r="C8" s="63"/>
      <c r="D8" s="63"/>
      <c r="E8" s="63"/>
      <c r="F8" s="63"/>
      <c r="G8" s="63"/>
      <c r="H8" s="63"/>
      <c r="I8" s="63"/>
      <c r="J8" s="63"/>
      <c r="K8" s="63"/>
      <c r="L8" s="63"/>
      <c r="M8" s="63"/>
      <c r="N8" s="63"/>
      <c r="O8" s="63"/>
      <c r="P8" s="63"/>
      <c r="Q8" s="63"/>
      <c r="R8" s="63"/>
      <c r="S8" s="63"/>
      <c r="T8" s="63"/>
      <c r="U8" s="63"/>
      <c r="V8" s="63"/>
      <c r="W8" s="63"/>
      <c r="X8" s="63"/>
      <c r="Y8" s="63"/>
      <c r="Z8" s="63"/>
      <c r="AA8" s="37"/>
      <c r="AB8" s="37"/>
      <c r="AC8" s="37"/>
      <c r="AD8" s="37"/>
      <c r="AE8" s="37"/>
      <c r="AF8" s="37"/>
      <c r="AG8" s="37"/>
      <c r="AH8" s="37"/>
    </row>
    <row r="9" spans="2:34" ht="15.75" x14ac:dyDescent="0.25">
      <c r="B9" s="65" t="s">
        <v>31</v>
      </c>
    </row>
    <row r="10" spans="2:34" x14ac:dyDescent="0.25">
      <c r="B10" s="3"/>
    </row>
    <row r="11" spans="2:34" ht="21.95" customHeight="1" x14ac:dyDescent="0.25">
      <c r="B11" s="66" t="s">
        <v>32</v>
      </c>
      <c r="C11" s="38"/>
      <c r="E11" s="38"/>
      <c r="F11" s="38"/>
    </row>
    <row r="12" spans="2:34" x14ac:dyDescent="0.25">
      <c r="B12" s="1"/>
    </row>
    <row r="13" spans="2:34" ht="30" customHeight="1" x14ac:dyDescent="0.25">
      <c r="B13" s="24" t="s">
        <v>14</v>
      </c>
      <c r="C13" s="25" t="s">
        <v>22</v>
      </c>
      <c r="D13" s="25" t="s">
        <v>23</v>
      </c>
      <c r="E13" s="25" t="s">
        <v>24</v>
      </c>
      <c r="F13" s="25" t="s">
        <v>25</v>
      </c>
      <c r="G13" s="25" t="s">
        <v>26</v>
      </c>
      <c r="H13" s="25"/>
      <c r="I13" s="39" t="s">
        <v>142</v>
      </c>
      <c r="J13" s="40"/>
      <c r="K13" s="40"/>
      <c r="L13" s="40"/>
      <c r="M13" s="40"/>
      <c r="N13" s="40"/>
      <c r="O13" s="40"/>
      <c r="P13" s="40"/>
      <c r="Q13" s="40"/>
      <c r="R13" s="40"/>
      <c r="S13" s="40"/>
      <c r="T13" s="40"/>
      <c r="U13" s="40"/>
      <c r="V13" s="40"/>
      <c r="W13" s="40"/>
      <c r="X13" s="40"/>
      <c r="Y13" s="40"/>
      <c r="Z13" s="40"/>
    </row>
    <row r="14" spans="2:34" x14ac:dyDescent="0.25">
      <c r="B14" s="27" t="s">
        <v>40</v>
      </c>
      <c r="C14" s="21">
        <v>37</v>
      </c>
      <c r="D14" s="31">
        <f>'ISO27001 Annex A Applicability'!D53</f>
        <v>37</v>
      </c>
      <c r="E14" s="45">
        <f>ISO27001ApplicabilityTableResults11[[#This Row],[APPLICABLE CONTROLS]]/ISO27001ApplicabilityTableResults11[[#This Row],[NO OF CONTROLS]]</f>
        <v>1</v>
      </c>
      <c r="F14" s="31">
        <f>'ISO27001 Annex A Applicability'!E53</f>
        <v>37</v>
      </c>
      <c r="G14" s="35">
        <f>IF(D14=0,1,+F14/D14)</f>
        <v>1</v>
      </c>
      <c r="H14" s="35"/>
      <c r="I14" s="35"/>
    </row>
    <row r="15" spans="2:34" x14ac:dyDescent="0.25">
      <c r="B15" s="28" t="s">
        <v>41</v>
      </c>
      <c r="C15" s="21">
        <v>8</v>
      </c>
      <c r="D15" s="31">
        <f>'ISO27001 Annex A Applicability'!D65</f>
        <v>8</v>
      </c>
      <c r="E15" s="45">
        <f>ISO27001ApplicabilityTableResults11[[#This Row],[APPLICABLE CONTROLS]]/ISO27001ApplicabilityTableResults11[[#This Row],[NO OF CONTROLS]]</f>
        <v>1</v>
      </c>
      <c r="F15" s="31">
        <f>'ISO27001 Annex A Applicability'!E65</f>
        <v>8</v>
      </c>
      <c r="G15" s="35">
        <f t="shared" ref="G15:G17" si="0">IF(D15=0,1,+F15/D15)</f>
        <v>1</v>
      </c>
      <c r="H15" s="35"/>
      <c r="I15" s="35"/>
    </row>
    <row r="16" spans="2:34" x14ac:dyDescent="0.25">
      <c r="B16" s="27" t="s">
        <v>42</v>
      </c>
      <c r="C16" s="21">
        <v>14</v>
      </c>
      <c r="D16" s="31">
        <f>'ISO27001 Annex A Applicability'!D83</f>
        <v>14</v>
      </c>
      <c r="E16" s="45">
        <f>ISO27001ApplicabilityTableResults11[[#This Row],[APPLICABLE CONTROLS]]/ISO27001ApplicabilityTableResults11[[#This Row],[NO OF CONTROLS]]</f>
        <v>1</v>
      </c>
      <c r="F16" s="31">
        <f>'ISO27001 Annex A Applicability'!E83</f>
        <v>14</v>
      </c>
      <c r="G16" s="35">
        <f t="shared" si="0"/>
        <v>1</v>
      </c>
      <c r="H16" s="35"/>
      <c r="I16" s="35"/>
    </row>
    <row r="17" spans="1:9" x14ac:dyDescent="0.25">
      <c r="B17" s="28" t="s">
        <v>43</v>
      </c>
      <c r="C17" s="21">
        <v>34</v>
      </c>
      <c r="D17" s="31">
        <f>'ISO27001 Annex A Applicability'!D121</f>
        <v>34</v>
      </c>
      <c r="E17" s="45">
        <f>ISO27001ApplicabilityTableResults11[[#This Row],[APPLICABLE CONTROLS]]/ISO27001ApplicabilityTableResults11[[#This Row],[NO OF CONTROLS]]</f>
        <v>1</v>
      </c>
      <c r="F17" s="31">
        <f>'ISO27001 Annex A Applicability'!E121</f>
        <v>34</v>
      </c>
      <c r="G17" s="35">
        <f t="shared" si="0"/>
        <v>1</v>
      </c>
      <c r="H17" s="35"/>
      <c r="I17" s="35"/>
    </row>
    <row r="18" spans="1:9" x14ac:dyDescent="0.25">
      <c r="B18" s="29" t="s">
        <v>30</v>
      </c>
      <c r="C18" s="30">
        <f>SUBTOTAL(109,ISO27001ApplicabilityTableResults11[NO OF CONTROLS])</f>
        <v>93</v>
      </c>
      <c r="D18" s="32">
        <f>SUBTOTAL(109,ISO27001ApplicabilityTableResults11[APPLICABLE CONTROLS])</f>
        <v>93</v>
      </c>
      <c r="E18" s="36">
        <f>SUBTOTAL(101,ISO27001ApplicabilityTableResults11[% CONTROLS APPLICABLE])</f>
        <v>1</v>
      </c>
      <c r="F18" s="32">
        <f>SUBTOTAL(109,ISO27001ApplicabilityTableResults11[CONTROLS IMPLEMENTED])</f>
        <v>93</v>
      </c>
      <c r="G18" s="36">
        <f>SUBTOTAL(101,ISO27001ApplicabilityTableResults11[% APP CONTROLS IMPLEMENTED])</f>
        <v>1</v>
      </c>
      <c r="H18" s="35"/>
      <c r="I18" s="35"/>
    </row>
    <row r="19" spans="1:9" x14ac:dyDescent="0.25">
      <c r="B19" s="42"/>
      <c r="C19" s="30"/>
      <c r="D19" s="30"/>
      <c r="E19" s="43"/>
      <c r="F19" s="41"/>
      <c r="H19" s="35"/>
      <c r="I19" s="35"/>
    </row>
    <row r="20" spans="1:9" x14ac:dyDescent="0.25">
      <c r="C20" s="21"/>
      <c r="D20" s="21"/>
      <c r="E20" s="21"/>
      <c r="F20" s="41"/>
      <c r="H20" s="35"/>
      <c r="I20" s="35"/>
    </row>
    <row r="21" spans="1:9" x14ac:dyDescent="0.25">
      <c r="C21" s="21"/>
      <c r="D21" s="21"/>
      <c r="E21" s="21"/>
      <c r="F21" s="41"/>
      <c r="H21" s="35"/>
      <c r="I21" s="35"/>
    </row>
    <row r="22" spans="1:9" ht="18.75" x14ac:dyDescent="0.25">
      <c r="B22" s="50" t="s">
        <v>143</v>
      </c>
      <c r="C22" s="44"/>
      <c r="D22" s="44"/>
      <c r="E22" s="44"/>
      <c r="F22" s="61"/>
      <c r="G22" s="40"/>
      <c r="H22" s="35"/>
      <c r="I22" s="35"/>
    </row>
    <row r="23" spans="1:9" x14ac:dyDescent="0.25">
      <c r="C23" s="21"/>
      <c r="D23" s="21"/>
      <c r="E23" s="21"/>
      <c r="F23" s="41"/>
      <c r="H23" s="35"/>
      <c r="I23" s="35"/>
    </row>
    <row r="24" spans="1:9" x14ac:dyDescent="0.25">
      <c r="H24" s="35"/>
      <c r="I24" s="35"/>
    </row>
    <row r="25" spans="1:9" x14ac:dyDescent="0.25">
      <c r="A25" s="28"/>
      <c r="H25" s="35"/>
      <c r="I25" s="35"/>
    </row>
    <row r="26" spans="1:9" x14ac:dyDescent="0.25">
      <c r="A26" s="28"/>
      <c r="H26" s="35"/>
      <c r="I26" s="35"/>
    </row>
    <row r="27" spans="1:9" x14ac:dyDescent="0.25">
      <c r="H27" s="35"/>
      <c r="I27" s="35"/>
    </row>
    <row r="28" spans="1:9" x14ac:dyDescent="0.25">
      <c r="H28" s="36"/>
      <c r="I28" s="36"/>
    </row>
    <row r="32" spans="1:9" ht="21.95" customHeight="1" x14ac:dyDescent="0.25"/>
    <row r="38" spans="8:26" ht="18.75" x14ac:dyDescent="0.25">
      <c r="I38" s="39" t="s">
        <v>144</v>
      </c>
      <c r="J38" s="40"/>
      <c r="K38" s="46"/>
      <c r="L38" s="46"/>
      <c r="M38" s="46"/>
      <c r="N38" s="46"/>
      <c r="O38" s="46"/>
      <c r="P38" s="46"/>
      <c r="Q38" s="46"/>
      <c r="R38" s="46"/>
      <c r="S38" s="46"/>
      <c r="T38" s="46"/>
      <c r="U38" s="46"/>
      <c r="V38" s="46"/>
      <c r="W38" s="40"/>
      <c r="X38" s="40"/>
      <c r="Y38" s="40"/>
      <c r="Z38" s="40"/>
    </row>
    <row r="44" spans="8:26" ht="20.100000000000001" customHeight="1" x14ac:dyDescent="0.25">
      <c r="H44" s="60"/>
      <c r="I44" s="60"/>
      <c r="J44" s="62"/>
      <c r="K44" s="60"/>
      <c r="L44" s="62"/>
      <c r="M44" s="62"/>
      <c r="N44" s="62"/>
      <c r="O44" s="62"/>
      <c r="P44" s="62"/>
      <c r="Q44" s="62"/>
      <c r="R44" s="62"/>
      <c r="S44" s="62"/>
      <c r="T44" s="62"/>
      <c r="U44" s="62"/>
      <c r="V44" s="62"/>
    </row>
  </sheetData>
  <phoneticPr fontId="18" type="noConversion"/>
  <pageMargins left="0.23622047244094491" right="0.23622047244094491" top="0.39370078740157483" bottom="0.39370078740157483" header="0.19685039370078741" footer="0.19685039370078741"/>
  <pageSetup paperSize="9" scale="43" orientation="landscape" horizontalDpi="360" verticalDpi="36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C9C5-1696-4DF4-B1FA-A096827B4828}">
  <dimension ref="B4:G11"/>
  <sheetViews>
    <sheetView showGridLines="0" workbookViewId="0"/>
  </sheetViews>
  <sheetFormatPr defaultRowHeight="15" x14ac:dyDescent="0.25"/>
  <cols>
    <col min="1" max="1" width="2.85546875" style="24" customWidth="1"/>
    <col min="2" max="2" width="67.140625" style="24" customWidth="1"/>
    <col min="3" max="4" width="12.7109375" style="31" customWidth="1"/>
    <col min="5" max="5" width="12.7109375" style="25" customWidth="1"/>
    <col min="6" max="6" width="14.7109375" style="31" customWidth="1"/>
    <col min="7" max="7" width="19.28515625" style="31" customWidth="1"/>
    <col min="8" max="16384" width="9.140625" style="24"/>
  </cols>
  <sheetData>
    <row r="4" spans="2:7" ht="18.75" x14ac:dyDescent="0.25">
      <c r="B4" s="26" t="s">
        <v>29</v>
      </c>
    </row>
    <row r="6" spans="2:7" ht="30" x14ac:dyDescent="0.25">
      <c r="B6" s="24" t="s">
        <v>14</v>
      </c>
      <c r="C6" s="25" t="s">
        <v>22</v>
      </c>
      <c r="D6" s="25" t="s">
        <v>23</v>
      </c>
      <c r="E6" s="25" t="s">
        <v>24</v>
      </c>
      <c r="F6" s="25" t="s">
        <v>25</v>
      </c>
      <c r="G6" s="25" t="s">
        <v>26</v>
      </c>
    </row>
    <row r="7" spans="2:7" x14ac:dyDescent="0.25">
      <c r="B7" s="27" t="s">
        <v>40</v>
      </c>
      <c r="C7" s="21">
        <v>37</v>
      </c>
      <c r="D7" s="31">
        <f>'ISO27001 Annex A Applicability'!D53</f>
        <v>37</v>
      </c>
      <c r="E7" s="33">
        <f>ISO27001ApplicabilityTableResults[[#This Row],[APPLICABLE CONTROLS]]/ISO27001ApplicabilityTableResults[[#This Row],[NO OF CONTROLS]]</f>
        <v>1</v>
      </c>
      <c r="F7" s="31">
        <f>'ISO27001 Annex A Applicability'!E53</f>
        <v>37</v>
      </c>
      <c r="G7" s="35">
        <f>IF(D7=0,1,+F7/D7)</f>
        <v>1</v>
      </c>
    </row>
    <row r="8" spans="2:7" x14ac:dyDescent="0.25">
      <c r="B8" s="28" t="s">
        <v>41</v>
      </c>
      <c r="C8" s="21">
        <v>8</v>
      </c>
      <c r="D8" s="31">
        <f>'ISO27001 Annex A Applicability'!D65</f>
        <v>8</v>
      </c>
      <c r="E8" s="33">
        <f>ISO27001ApplicabilityTableResults[[#This Row],[APPLICABLE CONTROLS]]/ISO27001ApplicabilityTableResults[[#This Row],[NO OF CONTROLS]]</f>
        <v>1</v>
      </c>
      <c r="F8" s="31">
        <f>'ISO27001 Annex A Applicability'!E65</f>
        <v>8</v>
      </c>
      <c r="G8" s="35">
        <f t="shared" ref="G8:G10" si="0">IF(D8=0,1,+F8/D8)</f>
        <v>1</v>
      </c>
    </row>
    <row r="9" spans="2:7" x14ac:dyDescent="0.25">
      <c r="B9" s="27" t="s">
        <v>42</v>
      </c>
      <c r="C9" s="21">
        <v>14</v>
      </c>
      <c r="D9" s="31">
        <f>'ISO27001 Annex A Applicability'!D83</f>
        <v>14</v>
      </c>
      <c r="E9" s="33">
        <f>ISO27001ApplicabilityTableResults[[#This Row],[APPLICABLE CONTROLS]]/ISO27001ApplicabilityTableResults[[#This Row],[NO OF CONTROLS]]</f>
        <v>1</v>
      </c>
      <c r="F9" s="31">
        <f>'ISO27001 Annex A Applicability'!E83</f>
        <v>14</v>
      </c>
      <c r="G9" s="35">
        <f t="shared" si="0"/>
        <v>1</v>
      </c>
    </row>
    <row r="10" spans="2:7" x14ac:dyDescent="0.25">
      <c r="B10" s="28" t="s">
        <v>43</v>
      </c>
      <c r="C10" s="21">
        <v>34</v>
      </c>
      <c r="D10" s="31">
        <f>'ISO27001 Annex A Applicability'!D121</f>
        <v>34</v>
      </c>
      <c r="E10" s="33">
        <f>ISO27001ApplicabilityTableResults[[#This Row],[APPLICABLE CONTROLS]]/ISO27001ApplicabilityTableResults[[#This Row],[NO OF CONTROLS]]</f>
        <v>1</v>
      </c>
      <c r="F10" s="31">
        <f>'ISO27001 Annex A Applicability'!E121</f>
        <v>34</v>
      </c>
      <c r="G10" s="35">
        <f t="shared" si="0"/>
        <v>1</v>
      </c>
    </row>
    <row r="11" spans="2:7" x14ac:dyDescent="0.25">
      <c r="B11" s="29" t="s">
        <v>30</v>
      </c>
      <c r="C11" s="30">
        <f>SUBTOTAL(109,ISO27001ApplicabilityTableResults[NO OF CONTROLS])</f>
        <v>93</v>
      </c>
      <c r="D11" s="32">
        <f>SUBTOTAL(109,ISO27001ApplicabilityTableResults[APPLICABLE CONTROLS])</f>
        <v>93</v>
      </c>
      <c r="E11" s="34">
        <f>SUBTOTAL(101,ISO27001ApplicabilityTableResults[% CONTROLS APPLICABLE])</f>
        <v>1</v>
      </c>
      <c r="F11" s="32">
        <f>SUBTOTAL(109,ISO27001ApplicabilityTableResults[CONTROLS IMPLEMENTED])</f>
        <v>93</v>
      </c>
      <c r="G11" s="36">
        <f>SUBTOTAL(101,ISO27001ApplicabilityTableResults[% APP CONTROLS IMPLEMENTED])</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BD63-850E-4C47-828F-FCAF53979144}">
  <dimension ref="B4:AD20"/>
  <sheetViews>
    <sheetView showGridLines="0" workbookViewId="0"/>
  </sheetViews>
  <sheetFormatPr defaultRowHeight="15" x14ac:dyDescent="0.25"/>
  <cols>
    <col min="1" max="1" width="2.85546875" style="24" customWidth="1"/>
    <col min="2" max="2" width="25.140625" style="24" bestFit="1" customWidth="1"/>
    <col min="3" max="3" width="22.140625" style="48" bestFit="1" customWidth="1"/>
    <col min="4" max="5" width="24.7109375" style="48" bestFit="1" customWidth="1"/>
    <col min="6" max="30" width="64.140625" style="24" bestFit="1" customWidth="1"/>
    <col min="31" max="16384" width="9.140625" style="24"/>
  </cols>
  <sheetData>
    <row r="4" spans="2:30" ht="18.75" x14ac:dyDescent="0.25">
      <c r="B4" s="26" t="s">
        <v>33</v>
      </c>
    </row>
    <row r="6" spans="2:30" x14ac:dyDescent="0.25">
      <c r="B6" s="47" t="s">
        <v>14</v>
      </c>
      <c r="C6" s="47" t="s">
        <v>34</v>
      </c>
      <c r="D6" s="47" t="s">
        <v>35</v>
      </c>
      <c r="E6"/>
      <c r="F6"/>
      <c r="G6"/>
      <c r="H6"/>
      <c r="I6"/>
      <c r="J6"/>
      <c r="K6"/>
      <c r="L6"/>
      <c r="M6"/>
      <c r="N6"/>
      <c r="O6"/>
      <c r="P6"/>
      <c r="Q6"/>
      <c r="R6"/>
      <c r="S6"/>
      <c r="T6"/>
      <c r="U6"/>
      <c r="V6"/>
      <c r="W6"/>
      <c r="X6"/>
      <c r="Y6"/>
      <c r="Z6"/>
      <c r="AA6"/>
      <c r="AB6"/>
      <c r="AC6"/>
      <c r="AD6"/>
    </row>
    <row r="7" spans="2:30" x14ac:dyDescent="0.25">
      <c r="B7" s="24" t="s">
        <v>43</v>
      </c>
      <c r="C7" s="49">
        <v>34</v>
      </c>
      <c r="D7" s="49">
        <v>34</v>
      </c>
      <c r="E7"/>
      <c r="F7"/>
      <c r="G7"/>
      <c r="H7"/>
      <c r="I7"/>
      <c r="J7"/>
      <c r="K7"/>
      <c r="L7"/>
      <c r="M7"/>
      <c r="N7"/>
      <c r="O7"/>
      <c r="P7"/>
      <c r="Q7"/>
      <c r="R7"/>
      <c r="S7"/>
      <c r="T7"/>
      <c r="U7"/>
      <c r="V7"/>
      <c r="W7"/>
      <c r="X7"/>
      <c r="Y7"/>
      <c r="Z7"/>
      <c r="AA7"/>
      <c r="AB7"/>
      <c r="AC7"/>
      <c r="AD7"/>
    </row>
    <row r="8" spans="2:30" x14ac:dyDescent="0.25">
      <c r="B8" s="24" t="s">
        <v>42</v>
      </c>
      <c r="C8" s="49">
        <v>14</v>
      </c>
      <c r="D8" s="49">
        <v>14</v>
      </c>
      <c r="E8"/>
      <c r="F8"/>
      <c r="G8"/>
      <c r="H8"/>
      <c r="I8"/>
      <c r="J8"/>
      <c r="K8"/>
      <c r="L8"/>
      <c r="M8"/>
      <c r="N8"/>
      <c r="O8"/>
      <c r="P8"/>
      <c r="Q8"/>
      <c r="R8"/>
      <c r="S8"/>
      <c r="T8"/>
      <c r="U8"/>
      <c r="V8"/>
      <c r="W8"/>
      <c r="X8"/>
      <c r="Y8"/>
      <c r="Z8"/>
      <c r="AA8"/>
      <c r="AB8"/>
      <c r="AC8"/>
      <c r="AD8"/>
    </row>
    <row r="9" spans="2:30" x14ac:dyDescent="0.25">
      <c r="B9" s="24" t="s">
        <v>41</v>
      </c>
      <c r="C9" s="49">
        <v>8</v>
      </c>
      <c r="D9" s="49">
        <v>8</v>
      </c>
      <c r="E9"/>
      <c r="F9"/>
      <c r="G9"/>
      <c r="H9"/>
      <c r="I9"/>
      <c r="J9"/>
      <c r="K9"/>
      <c r="L9"/>
      <c r="M9"/>
      <c r="N9"/>
      <c r="O9"/>
      <c r="P9"/>
      <c r="Q9"/>
      <c r="R9"/>
      <c r="S9"/>
      <c r="T9"/>
      <c r="U9"/>
      <c r="V9"/>
      <c r="W9"/>
      <c r="X9"/>
      <c r="Y9"/>
      <c r="Z9"/>
      <c r="AA9"/>
      <c r="AB9"/>
      <c r="AC9"/>
      <c r="AD9"/>
    </row>
    <row r="10" spans="2:30" x14ac:dyDescent="0.25">
      <c r="B10" s="24" t="s">
        <v>40</v>
      </c>
      <c r="C10" s="49">
        <v>37</v>
      </c>
      <c r="D10" s="49">
        <v>37</v>
      </c>
      <c r="E10"/>
      <c r="F10"/>
      <c r="G10"/>
      <c r="H10"/>
      <c r="I10"/>
      <c r="J10"/>
      <c r="K10"/>
      <c r="L10"/>
      <c r="M10"/>
      <c r="N10"/>
      <c r="O10"/>
      <c r="P10"/>
      <c r="Q10"/>
      <c r="R10"/>
      <c r="S10"/>
      <c r="T10"/>
      <c r="U10"/>
      <c r="V10"/>
      <c r="W10"/>
      <c r="X10"/>
      <c r="Y10"/>
      <c r="Z10"/>
      <c r="AA10"/>
      <c r="AB10"/>
      <c r="AC10"/>
      <c r="AD10"/>
    </row>
    <row r="11" spans="2:30" x14ac:dyDescent="0.25">
      <c r="B11"/>
      <c r="C11"/>
      <c r="D11"/>
      <c r="E11"/>
      <c r="F11"/>
      <c r="G11"/>
      <c r="H11"/>
      <c r="I11"/>
      <c r="J11"/>
      <c r="K11"/>
      <c r="L11"/>
      <c r="M11"/>
      <c r="N11"/>
      <c r="O11"/>
      <c r="P11"/>
      <c r="Q11"/>
      <c r="R11"/>
      <c r="S11"/>
      <c r="T11"/>
      <c r="U11"/>
      <c r="V11"/>
      <c r="W11"/>
      <c r="X11"/>
      <c r="Y11"/>
      <c r="Z11"/>
      <c r="AA11"/>
      <c r="AB11"/>
      <c r="AC11"/>
      <c r="AD11"/>
    </row>
    <row r="12" spans="2:30" x14ac:dyDescent="0.25">
      <c r="B12"/>
      <c r="C12"/>
      <c r="D12"/>
      <c r="E12"/>
      <c r="F12"/>
      <c r="G12"/>
      <c r="H12"/>
      <c r="I12"/>
      <c r="J12"/>
      <c r="K12"/>
      <c r="L12"/>
      <c r="M12"/>
      <c r="N12"/>
      <c r="O12"/>
      <c r="P12"/>
      <c r="Q12"/>
      <c r="R12"/>
      <c r="S12"/>
      <c r="T12"/>
      <c r="U12"/>
      <c r="V12"/>
      <c r="W12"/>
      <c r="X12"/>
      <c r="Y12"/>
      <c r="Z12"/>
      <c r="AA12"/>
      <c r="AB12"/>
      <c r="AC12"/>
      <c r="AD12"/>
    </row>
    <row r="13" spans="2:30" x14ac:dyDescent="0.25">
      <c r="B13"/>
      <c r="C13"/>
      <c r="D13"/>
      <c r="E13"/>
      <c r="F13"/>
      <c r="G13"/>
      <c r="H13"/>
      <c r="I13"/>
      <c r="J13"/>
      <c r="K13"/>
      <c r="L13"/>
      <c r="M13"/>
      <c r="N13"/>
      <c r="O13"/>
      <c r="P13"/>
      <c r="Q13"/>
      <c r="R13"/>
      <c r="S13"/>
      <c r="T13"/>
      <c r="U13"/>
      <c r="V13"/>
      <c r="W13"/>
      <c r="X13"/>
      <c r="Y13"/>
      <c r="Z13"/>
      <c r="AA13"/>
      <c r="AB13"/>
      <c r="AC13"/>
      <c r="AD13"/>
    </row>
    <row r="14" spans="2:30" x14ac:dyDescent="0.25">
      <c r="B14"/>
      <c r="C14"/>
      <c r="D14"/>
      <c r="E14"/>
      <c r="F14"/>
      <c r="G14"/>
      <c r="H14"/>
      <c r="I14"/>
      <c r="J14"/>
      <c r="K14"/>
      <c r="L14"/>
      <c r="M14"/>
      <c r="N14"/>
      <c r="O14"/>
      <c r="P14"/>
      <c r="Q14"/>
      <c r="R14"/>
      <c r="S14"/>
      <c r="T14"/>
      <c r="U14"/>
      <c r="V14"/>
      <c r="W14"/>
      <c r="X14"/>
      <c r="Y14"/>
      <c r="Z14"/>
      <c r="AA14"/>
      <c r="AB14"/>
      <c r="AC14"/>
      <c r="AD14"/>
    </row>
    <row r="15" spans="2:30" x14ac:dyDescent="0.25">
      <c r="B15"/>
      <c r="C15"/>
      <c r="D15"/>
      <c r="E15"/>
      <c r="F15"/>
      <c r="G15"/>
      <c r="H15"/>
      <c r="I15"/>
      <c r="J15"/>
      <c r="K15"/>
      <c r="L15"/>
      <c r="M15"/>
      <c r="N15"/>
      <c r="O15"/>
      <c r="P15"/>
      <c r="Q15"/>
      <c r="R15"/>
      <c r="S15"/>
      <c r="T15"/>
      <c r="U15"/>
      <c r="V15"/>
      <c r="W15"/>
      <c r="X15"/>
      <c r="Y15"/>
      <c r="Z15"/>
      <c r="AA15"/>
      <c r="AB15"/>
      <c r="AC15"/>
      <c r="AD15"/>
    </row>
    <row r="16" spans="2:30" x14ac:dyDescent="0.25">
      <c r="B16"/>
      <c r="C16"/>
      <c r="D16"/>
      <c r="E16"/>
      <c r="F16"/>
      <c r="G16"/>
      <c r="H16"/>
      <c r="I16"/>
      <c r="J16"/>
      <c r="K16"/>
      <c r="L16"/>
      <c r="M16"/>
      <c r="N16"/>
      <c r="O16"/>
      <c r="P16"/>
      <c r="Q16"/>
      <c r="R16"/>
      <c r="S16"/>
      <c r="T16"/>
      <c r="U16"/>
      <c r="V16"/>
      <c r="W16"/>
      <c r="X16"/>
      <c r="Y16"/>
      <c r="Z16"/>
      <c r="AA16"/>
      <c r="AB16"/>
      <c r="AC16"/>
      <c r="AD16"/>
    </row>
    <row r="17" spans="2:30" x14ac:dyDescent="0.25">
      <c r="B17"/>
      <c r="C17"/>
      <c r="D17"/>
      <c r="E17"/>
      <c r="F17"/>
      <c r="G17"/>
      <c r="H17"/>
      <c r="I17"/>
      <c r="J17"/>
      <c r="K17"/>
      <c r="L17"/>
      <c r="M17"/>
      <c r="N17"/>
      <c r="O17"/>
      <c r="P17"/>
      <c r="Q17"/>
      <c r="R17"/>
      <c r="S17"/>
      <c r="T17"/>
      <c r="U17"/>
      <c r="V17"/>
      <c r="W17"/>
      <c r="X17"/>
      <c r="Y17"/>
      <c r="Z17"/>
      <c r="AA17"/>
      <c r="AB17"/>
      <c r="AC17"/>
      <c r="AD17"/>
    </row>
    <row r="18" spans="2:30" x14ac:dyDescent="0.25">
      <c r="B18"/>
      <c r="C18"/>
      <c r="D18"/>
      <c r="E18"/>
      <c r="F18"/>
      <c r="G18"/>
      <c r="H18"/>
      <c r="I18"/>
      <c r="J18"/>
      <c r="K18"/>
      <c r="L18"/>
      <c r="M18"/>
      <c r="N18"/>
      <c r="O18"/>
      <c r="P18"/>
      <c r="Q18"/>
      <c r="R18"/>
      <c r="S18"/>
      <c r="T18"/>
      <c r="U18"/>
      <c r="V18"/>
      <c r="W18"/>
      <c r="X18"/>
      <c r="Y18"/>
      <c r="Z18"/>
      <c r="AA18"/>
      <c r="AB18"/>
      <c r="AC18"/>
      <c r="AD18"/>
    </row>
    <row r="19" spans="2:30" x14ac:dyDescent="0.25">
      <c r="B19"/>
      <c r="C19"/>
      <c r="D19"/>
      <c r="E19"/>
    </row>
    <row r="20" spans="2:30" x14ac:dyDescent="0.25">
      <c r="B20"/>
      <c r="C20"/>
      <c r="D20"/>
      <c r="E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D26C-CEAA-42DE-8F9A-7F34B91C4873}">
  <dimension ref="B1:D20"/>
  <sheetViews>
    <sheetView showGridLines="0" workbookViewId="0"/>
  </sheetViews>
  <sheetFormatPr defaultRowHeight="14.25" customHeight="1" x14ac:dyDescent="0.25"/>
  <cols>
    <col min="1" max="1" width="2.85546875" customWidth="1"/>
    <col min="2" max="2" width="25.140625" bestFit="1" customWidth="1"/>
    <col min="3" max="3" width="14.140625" style="51" bestFit="1" customWidth="1"/>
    <col min="4" max="4" width="12.42578125" style="51" bestFit="1" customWidth="1"/>
  </cols>
  <sheetData>
    <row r="1" spans="2:4" s="53" customFormat="1" ht="14.25" customHeight="1" x14ac:dyDescent="0.25">
      <c r="C1" s="54"/>
      <c r="D1" s="54"/>
    </row>
    <row r="2" spans="2:4" s="53" customFormat="1" ht="14.25" customHeight="1" x14ac:dyDescent="0.25">
      <c r="C2" s="54"/>
      <c r="D2" s="54"/>
    </row>
    <row r="3" spans="2:4" s="53" customFormat="1" ht="14.25" customHeight="1" x14ac:dyDescent="0.25">
      <c r="C3" s="54"/>
      <c r="D3" s="54"/>
    </row>
    <row r="4" spans="2:4" s="53" customFormat="1" ht="14.25" customHeight="1" x14ac:dyDescent="0.25">
      <c r="B4" s="55" t="s">
        <v>36</v>
      </c>
      <c r="C4" s="54"/>
      <c r="D4" s="54"/>
    </row>
    <row r="5" spans="2:4" s="53" customFormat="1" ht="14.25" customHeight="1" x14ac:dyDescent="0.25">
      <c r="C5" s="54"/>
      <c r="D5" s="54"/>
    </row>
    <row r="6" spans="2:4" s="53" customFormat="1" ht="45" x14ac:dyDescent="0.25">
      <c r="B6" s="56" t="s">
        <v>14</v>
      </c>
      <c r="C6" s="57" t="s">
        <v>37</v>
      </c>
      <c r="D6" s="57" t="s">
        <v>38</v>
      </c>
    </row>
    <row r="7" spans="2:4" s="53" customFormat="1" ht="15" x14ac:dyDescent="0.25">
      <c r="B7" s="53" t="s">
        <v>40</v>
      </c>
      <c r="C7" s="58">
        <v>1</v>
      </c>
      <c r="D7" s="58">
        <v>1</v>
      </c>
    </row>
    <row r="8" spans="2:4" s="53" customFormat="1" ht="15" x14ac:dyDescent="0.25">
      <c r="B8" s="53" t="s">
        <v>41</v>
      </c>
      <c r="C8" s="58">
        <v>1</v>
      </c>
      <c r="D8" s="58">
        <v>1</v>
      </c>
    </row>
    <row r="9" spans="2:4" s="53" customFormat="1" ht="15" x14ac:dyDescent="0.25">
      <c r="B9" s="53" t="s">
        <v>42</v>
      </c>
      <c r="C9" s="58">
        <v>1</v>
      </c>
      <c r="D9" s="58">
        <v>1</v>
      </c>
    </row>
    <row r="10" spans="2:4" s="53" customFormat="1" ht="15" x14ac:dyDescent="0.25">
      <c r="B10" s="53" t="s">
        <v>43</v>
      </c>
      <c r="C10" s="58">
        <v>1</v>
      </c>
      <c r="D10" s="58">
        <v>1</v>
      </c>
    </row>
    <row r="11" spans="2:4" s="53" customFormat="1" ht="15" x14ac:dyDescent="0.25">
      <c r="B11"/>
      <c r="C11"/>
      <c r="D11"/>
    </row>
    <row r="12" spans="2:4" s="53" customFormat="1" ht="15" x14ac:dyDescent="0.25">
      <c r="B12"/>
      <c r="C12"/>
      <c r="D12"/>
    </row>
    <row r="13" spans="2:4" s="53" customFormat="1" ht="15" x14ac:dyDescent="0.25">
      <c r="B13"/>
      <c r="C13"/>
      <c r="D13"/>
    </row>
    <row r="14" spans="2:4" s="53" customFormat="1" ht="15" x14ac:dyDescent="0.25">
      <c r="B14"/>
      <c r="C14"/>
      <c r="D14"/>
    </row>
    <row r="15" spans="2:4" s="53" customFormat="1" ht="15" x14ac:dyDescent="0.25">
      <c r="B15"/>
      <c r="C15"/>
      <c r="D15"/>
    </row>
    <row r="16" spans="2:4" s="53" customFormat="1" ht="15" x14ac:dyDescent="0.25">
      <c r="B16"/>
      <c r="C16"/>
      <c r="D16"/>
    </row>
    <row r="17" spans="2:4" s="53" customFormat="1" ht="15" x14ac:dyDescent="0.25">
      <c r="B17"/>
      <c r="C17"/>
      <c r="D17"/>
    </row>
    <row r="18" spans="2:4" s="53" customFormat="1" ht="15" x14ac:dyDescent="0.25">
      <c r="B18"/>
      <c r="C18"/>
      <c r="D18"/>
    </row>
    <row r="19" spans="2:4" s="53" customFormat="1" ht="15" x14ac:dyDescent="0.25">
      <c r="B19"/>
      <c r="C19"/>
      <c r="D19"/>
    </row>
    <row r="20" spans="2:4" s="53" customFormat="1" ht="15" x14ac:dyDescent="0.25">
      <c r="B20"/>
      <c r="C20"/>
      <c r="D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91E0-FAEA-40EC-A67B-6873A241379E}">
  <dimension ref="B4:D21"/>
  <sheetViews>
    <sheetView showGridLines="0" workbookViewId="0"/>
  </sheetViews>
  <sheetFormatPr defaultRowHeight="15" x14ac:dyDescent="0.25"/>
  <cols>
    <col min="1" max="1" width="2.85546875" style="53" customWidth="1"/>
    <col min="2" max="2" width="25.140625" style="53" bestFit="1" customWidth="1"/>
    <col min="3" max="3" width="16.5703125" style="53" bestFit="1" customWidth="1"/>
    <col min="4" max="4" width="12.42578125" style="53" bestFit="1" customWidth="1"/>
    <col min="5" max="16384" width="9.140625" style="53"/>
  </cols>
  <sheetData>
    <row r="4" spans="2:4" ht="18.75" x14ac:dyDescent="0.25">
      <c r="B4" s="55" t="s">
        <v>39</v>
      </c>
    </row>
    <row r="6" spans="2:4" ht="30" x14ac:dyDescent="0.25">
      <c r="B6" s="47" t="s">
        <v>14</v>
      </c>
      <c r="C6" s="52" t="s">
        <v>37</v>
      </c>
      <c r="D6" s="52" t="s">
        <v>38</v>
      </c>
    </row>
    <row r="7" spans="2:4" x14ac:dyDescent="0.25">
      <c r="B7" s="53" t="s">
        <v>40</v>
      </c>
      <c r="C7" s="59">
        <v>1</v>
      </c>
      <c r="D7" s="59">
        <v>1</v>
      </c>
    </row>
    <row r="8" spans="2:4" x14ac:dyDescent="0.25">
      <c r="B8" s="53" t="s">
        <v>41</v>
      </c>
      <c r="C8" s="59">
        <v>1</v>
      </c>
      <c r="D8" s="59">
        <v>1</v>
      </c>
    </row>
    <row r="9" spans="2:4" x14ac:dyDescent="0.25">
      <c r="B9" s="53" t="s">
        <v>42</v>
      </c>
      <c r="C9" s="59">
        <v>1</v>
      </c>
      <c r="D9" s="59">
        <v>1</v>
      </c>
    </row>
    <row r="10" spans="2:4" x14ac:dyDescent="0.25">
      <c r="B10" s="53" t="s">
        <v>43</v>
      </c>
      <c r="C10" s="59">
        <v>1</v>
      </c>
      <c r="D10" s="59">
        <v>1</v>
      </c>
    </row>
    <row r="11" spans="2:4" x14ac:dyDescent="0.25">
      <c r="B11"/>
      <c r="C11"/>
      <c r="D11"/>
    </row>
    <row r="12" spans="2:4" x14ac:dyDescent="0.25">
      <c r="B12"/>
      <c r="C12"/>
      <c r="D12"/>
    </row>
    <row r="13" spans="2:4" x14ac:dyDescent="0.25">
      <c r="B13"/>
      <c r="C13"/>
      <c r="D13"/>
    </row>
    <row r="14" spans="2:4" x14ac:dyDescent="0.25">
      <c r="B14"/>
      <c r="C14"/>
      <c r="D14"/>
    </row>
    <row r="15" spans="2:4" x14ac:dyDescent="0.25">
      <c r="B15"/>
      <c r="C15"/>
      <c r="D15"/>
    </row>
    <row r="16" spans="2:4" x14ac:dyDescent="0.25">
      <c r="B16"/>
      <c r="C16"/>
      <c r="D16"/>
    </row>
    <row r="17" spans="2:4" x14ac:dyDescent="0.25">
      <c r="B17"/>
      <c r="C17"/>
      <c r="D17"/>
    </row>
    <row r="18" spans="2:4" x14ac:dyDescent="0.25">
      <c r="B18"/>
      <c r="C18"/>
      <c r="D18"/>
    </row>
    <row r="19" spans="2:4" x14ac:dyDescent="0.25">
      <c r="B19"/>
      <c r="C19"/>
      <c r="D19"/>
    </row>
    <row r="20" spans="2:4" x14ac:dyDescent="0.25">
      <c r="B20"/>
      <c r="C20"/>
      <c r="D20"/>
    </row>
    <row r="21" spans="2:4" x14ac:dyDescent="0.25">
      <c r="B21"/>
      <c r="C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 ds:uri="89244998-67c5-4bad-a13d-4acc63ad7b2f"/>
  </ds:schemaRefs>
</ds:datastoreItem>
</file>

<file path=customXml/itemProps3.xml><?xml version="1.0" encoding="utf-8"?>
<ds:datastoreItem xmlns:ds="http://schemas.openxmlformats.org/officeDocument/2006/customXml" ds:itemID="{0341E8C8-6E66-45D1-82E4-62522DC31A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578CA14-430D-4A5A-9C0A-B9DD4DB29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Guidance</vt:lpstr>
      <vt:lpstr>Version</vt:lpstr>
      <vt:lpstr>ISO27001 Annex A Applicability</vt:lpstr>
      <vt:lpstr>ISO27001 Annex A Dashboard</vt:lpstr>
      <vt:lpstr>ISO27001 Applicability Table</vt:lpstr>
      <vt:lpstr>ISO27001 Results Chart</vt:lpstr>
      <vt:lpstr>ISO27001 % Results Chart</vt:lpstr>
      <vt:lpstr>ISO27001 % Radar Chart</vt:lpstr>
      <vt:lpstr>Guidance!Print_Area</vt:lpstr>
      <vt:lpstr>'ISO27001 Annex A Applicability'!Print_Titles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Mark Clifton</cp:lastModifiedBy>
  <cp:lastPrinted>2021-04-08T15:51:17Z</cp:lastPrinted>
  <dcterms:created xsi:type="dcterms:W3CDTF">2015-06-05T18:17:20Z</dcterms:created>
  <dcterms:modified xsi:type="dcterms:W3CDTF">2022-08-18T15:06:05Z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0x010100DA843292D49187418BD21D9C97EA6F65</vt:lpwstr>
  </property>
  <property fmtid="{D5CDD505-2E9C-101B-9397-08002B2CF9AE}" pid="3" name="Order">
    <vt:r8>1359100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