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slicers/slicer1.xml" ContentType="application/vnd.ms-excel.slicer+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tables/table2.xml" ContentType="application/vnd.openxmlformats-officedocument.spreadsheetml.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3.xml" ContentType="application/vnd.openxmlformats-officedocument.spreadsheetml.table+xml"/>
  <Override PartName="/xl/pivotTables/pivotTable4.xml" ContentType="application/vnd.openxmlformats-officedocument.spreadsheetml.pivotTable+xml"/>
  <Override PartName="/xl/tables/table4.xml" ContentType="application/vnd.openxmlformats-officedocument.spreadsheetml.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9.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29"/>
  <workbookPr codeName="ThisWorkbook" hidePivotFieldList="1"/>
  <mc:AlternateContent xmlns:mc="http://schemas.openxmlformats.org/markup-compatibility/2006">
    <mc:Choice Requires="x15">
      <x15ac:absPath xmlns:x15ac="http://schemas.microsoft.com/office/spreadsheetml/2010/11/ac" url="https://publicit3.sharepoint.com/sites/ToolkitDevelopment/Shared Documents/ISO27001 v12/CERTIKIT ISO27001 Toolkit V12/06. Planning/"/>
    </mc:Choice>
  </mc:AlternateContent>
  <xr:revisionPtr revIDLastSave="1539" documentId="6_{0E53BDEF-F5B4-4E0A-8B91-08E9ED024134}" xr6:coauthVersionLast="47" xr6:coauthVersionMax="47" xr10:uidLastSave="{8D5E23A9-43E8-4CE0-9B91-92C5AAA974A2}"/>
  <bookViews>
    <workbookView xWindow="-120" yWindow="-120" windowWidth="29040" windowHeight="15840" tabRatio="845" xr2:uid="{00000000-000D-0000-FFFF-FFFF00000000}"/>
  </bookViews>
  <sheets>
    <sheet name="Guidance" sheetId="3" r:id="rId1"/>
    <sheet name="Assessment Details" sheetId="9" r:id="rId2"/>
    <sheet name="Risk Assessment" sheetId="8" r:id="rId3"/>
    <sheet name="Dashboard" sheetId="33" r:id="rId4"/>
    <sheet name="Pre-treatment risks" sheetId="34" state="hidden" r:id="rId5"/>
    <sheet name="Pre-treat risk levels by owner" sheetId="35" state="hidden" r:id="rId6"/>
    <sheet name="Post-treatment risks" sheetId="36" state="hidden" r:id="rId7"/>
    <sheet name="Risks by risk level pre &amp; post" sheetId="37" state="hidden" r:id="rId8"/>
    <sheet name="Treatment option chosen" sheetId="38" state="hidden" r:id="rId9"/>
    <sheet name="Treatment cost " sheetId="39" state="hidden" r:id="rId10"/>
    <sheet name="Treatment action owner " sheetId="40" state="hidden" r:id="rId11"/>
    <sheet name="Reference Controls" sheetId="32" r:id="rId12"/>
    <sheet name="Example Risks and Controls" sheetId="19" r:id="rId13"/>
    <sheet name="Likelihood" sheetId="13" r:id="rId14"/>
    <sheet name="Impact" sheetId="14" r:id="rId15"/>
    <sheet name="Selection Tables" sheetId="4" state="hidden" r:id="rId16"/>
    <sheet name="Pivot tables" sheetId="27" state="hidden" r:id="rId17"/>
  </sheets>
  <definedNames>
    <definedName name="A.10.1Cryptographiccontrols">#REF!</definedName>
    <definedName name="A.10Cryptography">#REF!</definedName>
    <definedName name="A.10Informationsecurity">#REF!</definedName>
    <definedName name="A.11.1Secureareas">#REF!</definedName>
    <definedName name="A.11.2Equipment">#REF!</definedName>
    <definedName name="A.11Physicalandenvironmentalsecurity">#REF!</definedName>
    <definedName name="A.11Privacycompliance">#REF!</definedName>
    <definedName name="A.12.1Operationalproceduresandresponsibilities">#REF!</definedName>
    <definedName name="A.12.2Protectionfrommalware">#REF!</definedName>
    <definedName name="A.12.3Backup">#REF!</definedName>
    <definedName name="A.12.4Loggingandmonitoring">#REF!</definedName>
    <definedName name="A.12.5Controlofoperationalsoftware">#REF!</definedName>
    <definedName name="A.12.6Technicalvulnerabilitymanagement">#REF!</definedName>
    <definedName name="A.12.7Informationsystemsauditconsiderations">#REF!</definedName>
    <definedName name="A.12Operationssecurity">#REF!</definedName>
    <definedName name="A.13.1Networksecuritymanagement">#REF!</definedName>
    <definedName name="A.13.2Informationtransfer">#REF!</definedName>
    <definedName name="A.13Communicationssecurity">#REF!</definedName>
    <definedName name="A.14.1Securityrequirementsofinformationsystems">#REF!</definedName>
    <definedName name="A.14.2Securityindevelopmentandsupportprocesses">#REF!</definedName>
    <definedName name="A.14.3Testdata">#REF!</definedName>
    <definedName name="A.14Systemacquisitiondevelopmentandmaintenance">#REF!</definedName>
    <definedName name="A.15.1Informationsecurityinsupplierrelationships">#REF!</definedName>
    <definedName name="A.15.2Supplierservicedeliverymanagement">#REF!</definedName>
    <definedName name="A.15Supplierrelationships">#REF!</definedName>
    <definedName name="A.16.1Managementofinformationsecurityincidentsandimprovements">#REF!</definedName>
    <definedName name="A.16Informationsecurityincidentmanagement">#REF!</definedName>
    <definedName name="A.17.1Informationsecuritycontinuity">#REF!</definedName>
    <definedName name="A.17.2Redundancies">#REF!</definedName>
    <definedName name="A.17Informationsecurityaspectsofbusinesscontinuitymanagement">#REF!</definedName>
    <definedName name="A.18.1Compliancewithlegalandcontractualrequirements">#REF!</definedName>
    <definedName name="A.18.2Informationsecurityreviews">#REF!</definedName>
    <definedName name="A.18Compliance">#REF!</definedName>
    <definedName name="A.1Consentandchoice">#REF!</definedName>
    <definedName name="A.2Purposelegitimacyandspecification">#REF!</definedName>
    <definedName name="A.4Dataminimization">#REF!</definedName>
    <definedName name="A.5.1Managementdirectionforinformationsecurity">#REF!</definedName>
    <definedName name="A.5Informationsecuritypolicies">#REF!</definedName>
    <definedName name="A.5Useretentionanddisclosurelimitation">#REF!</definedName>
    <definedName name="A.6.1Internalorganization">#REF!</definedName>
    <definedName name="A.6.2Mobiledevicesandteleworking">#REF!</definedName>
    <definedName name="A.6Organizationofinformationsecurity">#REF!</definedName>
    <definedName name="A.7.1Priortoemployment">#REF!</definedName>
    <definedName name="A.7.2Duringemployment">#REF!</definedName>
    <definedName name="A.7.3Terminationandchangeofemployment">#REF!</definedName>
    <definedName name="A.7Humanresourcessecurity">#REF!</definedName>
    <definedName name="A.7Opennesstransparencyandnotice">#REF!</definedName>
    <definedName name="A.8.1Responsibilityforassets">#REF!</definedName>
    <definedName name="A.8.2Informationclassification">#REF!</definedName>
    <definedName name="A.8.3MediaHandling">#REF!</definedName>
    <definedName name="A.8Assetmanagement">#REF!</definedName>
    <definedName name="A.9.1Businessrequirementsofaccesscontrol">#REF!</definedName>
    <definedName name="A.9.2Useraccessmanagement">#REF!</definedName>
    <definedName name="A.9.3Userresponsibilities">#REF!</definedName>
    <definedName name="A.9.4Systemandapplicationaccesscontrol">#REF!</definedName>
    <definedName name="A.9Accesscontrol">#REF!</definedName>
    <definedName name="A.9Accountability">#REF!</definedName>
    <definedName name="AnnexAControlGroup">#REF!</definedName>
    <definedName name="CLD.6.3Relationshipbetweencloudservicecustomerandcloudserviceprovider">#REF!</definedName>
    <definedName name="CLD.9.5Accesscontrolofcloudservicecustomerdatainsharedvirtualenvironment">#REF!</definedName>
    <definedName name="ISOIEC27018Extendedcontrolset">#REF!</definedName>
    <definedName name="NoRisksPre" localSheetId="3">#REF!</definedName>
    <definedName name="NoRisksPre">'Pivot tables'!$Q$10</definedName>
    <definedName name="_xlnm.Print_Area" localSheetId="12">'Example Risks and Controls'!$A$1:$F$133</definedName>
    <definedName name="_xlnm.Print_Area" localSheetId="0">Guidance!$B$2:$C$26</definedName>
    <definedName name="_xlnm.Print_Area" localSheetId="11">'Reference Controls'!$A$1:$D$264</definedName>
    <definedName name="_xlnm.Print_Area" localSheetId="2">'Risk Assessment'!$A$1:$AB$33</definedName>
    <definedName name="_xlnm.Print_Titles" localSheetId="12">'Example Risks and Controls'!$12:$12</definedName>
    <definedName name="_xlnm.Print_Titles" localSheetId="11">'Reference Controls'!$12:$12</definedName>
    <definedName name="_xlnm.Print_Titles" localSheetId="2">'Risk Assessment'!$B:$F,'Risk Assessment'!$12:$13</definedName>
    <definedName name="Slicer_Post_Treatment_Risk_Level">#N/A</definedName>
    <definedName name="Slicer_Risk_level">#N/A</definedName>
    <definedName name="Slicer_Risk_Owner">#N/A</definedName>
    <definedName name="Slicer_Treatment_Action_Owner">#N/A</definedName>
    <definedName name="Slicer_Treatment_Action_Status">#N/A</definedName>
    <definedName name="Slicer_Treatment_option_chosen">#N/A</definedName>
  </definedNames>
  <calcPr calcId="191029"/>
  <pivotCaches>
    <pivotCache cacheId="14" r:id="rId18"/>
    <pivotCache cacheId="15" r:id="rId19"/>
    <pivotCache cacheId="16" r:id="rId20"/>
    <pivotCache cacheId="17" r:id="rId21"/>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2"/>
        <x14:slicerCache r:id="rId23"/>
        <x14:slicerCache r:id="rId24"/>
        <x14:slicerCache r:id="rId25"/>
        <x14:slicerCache r:id="rId26"/>
        <x14:slicerCache r:id="rId2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Z63" i="33" l="1" a="1"/>
  <c r="Z63" i="33" s="1"/>
  <c r="Z64" i="33" a="1"/>
  <c r="Z64" i="33" s="1"/>
  <c r="Z65" i="33" a="1"/>
  <c r="Z65" i="33" s="1"/>
  <c r="Z66" i="33" a="1"/>
  <c r="Z66" i="33" s="1"/>
  <c r="Z62" i="33" a="1"/>
  <c r="Z62" i="33" s="1"/>
  <c r="Y63" i="33" a="1"/>
  <c r="Y63" i="33" s="1"/>
  <c r="Y64" i="33" a="1"/>
  <c r="Y64" i="33" s="1"/>
  <c r="Y65" i="33" a="1"/>
  <c r="Y65" i="33" s="1"/>
  <c r="Y66" i="33" a="1"/>
  <c r="Y66" i="33" s="1"/>
  <c r="Y62" i="33" a="1"/>
  <c r="Y62" i="33" s="1"/>
  <c r="X63" i="33" a="1"/>
  <c r="X63" i="33" s="1"/>
  <c r="X64" i="33" a="1"/>
  <c r="X64" i="33" s="1"/>
  <c r="X65" i="33" a="1"/>
  <c r="X65" i="33" s="1"/>
  <c r="X66" i="33" a="1"/>
  <c r="X66" i="33" s="1"/>
  <c r="X62" i="33" a="1"/>
  <c r="X62" i="33" s="1"/>
  <c r="W63" i="33" a="1"/>
  <c r="W63" i="33" s="1"/>
  <c r="W64" i="33" a="1"/>
  <c r="W64" i="33" s="1"/>
  <c r="W65" i="33" a="1"/>
  <c r="W65" i="33" s="1"/>
  <c r="W66" i="33" a="1"/>
  <c r="W66" i="33" s="1"/>
  <c r="W62" i="33" a="1"/>
  <c r="W62" i="33" s="1"/>
  <c r="V63" i="33" a="1"/>
  <c r="V63" i="33" s="1"/>
  <c r="V64" i="33" a="1"/>
  <c r="V64" i="33" s="1"/>
  <c r="V65" i="33" a="1"/>
  <c r="V65" i="33" s="1"/>
  <c r="V66" i="33" a="1"/>
  <c r="V66" i="33" s="1"/>
  <c r="V62" i="33" a="1"/>
  <c r="V62" i="33" s="1"/>
  <c r="R63" i="33" a="1"/>
  <c r="R63" i="33" s="1"/>
  <c r="R64" i="33" a="1"/>
  <c r="R64" i="33" s="1"/>
  <c r="R65" i="33" a="1"/>
  <c r="R65" i="33" s="1"/>
  <c r="R66" i="33" a="1"/>
  <c r="R66" i="33" s="1"/>
  <c r="R62" i="33" a="1"/>
  <c r="R62" i="33" s="1"/>
  <c r="Q63" i="33" a="1"/>
  <c r="Q63" i="33" s="1"/>
  <c r="Q64" i="33" a="1"/>
  <c r="Q64" i="33" s="1"/>
  <c r="Q65" i="33" a="1"/>
  <c r="Q65" i="33" s="1"/>
  <c r="Q66" i="33" a="1"/>
  <c r="Q66" i="33" s="1"/>
  <c r="Q62" i="33" a="1"/>
  <c r="Q62" i="33" s="1"/>
  <c r="P63" i="33" a="1"/>
  <c r="P63" i="33" s="1"/>
  <c r="P64" i="33" a="1"/>
  <c r="P64" i="33" s="1"/>
  <c r="P65" i="33" a="1"/>
  <c r="P65" i="33" s="1"/>
  <c r="P66" i="33" a="1"/>
  <c r="P66" i="33" s="1"/>
  <c r="P62" i="33" a="1"/>
  <c r="P62" i="33" s="1"/>
  <c r="O63" i="33" a="1"/>
  <c r="O63" i="33" s="1"/>
  <c r="O64" i="33" a="1"/>
  <c r="O64" i="33" s="1"/>
  <c r="O65" i="33" a="1"/>
  <c r="O65" i="33" s="1"/>
  <c r="O66" i="33" a="1"/>
  <c r="O66" i="33" s="1"/>
  <c r="O62" i="33" a="1"/>
  <c r="O62" i="33" s="1"/>
  <c r="N63" i="33" a="1"/>
  <c r="N63" i="33" s="1"/>
  <c r="N64" i="33" a="1"/>
  <c r="N64" i="33" s="1"/>
  <c r="N65" i="33" a="1"/>
  <c r="N65" i="33" s="1"/>
  <c r="N66" i="33" a="1"/>
  <c r="N66" i="33" s="1"/>
  <c r="N62" i="33" a="1"/>
  <c r="N62" i="33" s="1"/>
  <c r="L14" i="8" l="1"/>
  <c r="M14" i="8" s="1"/>
  <c r="Z14" i="8" l="1"/>
  <c r="AA14" i="8" s="1"/>
  <c r="Z16" i="8"/>
  <c r="AA16" i="8" s="1"/>
  <c r="Z28" i="8" l="1"/>
  <c r="AA28" i="8" s="1"/>
  <c r="Z32" i="8"/>
  <c r="AA32" i="8" s="1"/>
  <c r="Z24" i="8"/>
  <c r="AA24" i="8" s="1"/>
  <c r="Z20" i="8"/>
  <c r="AA20" i="8" s="1"/>
  <c r="Z18" i="8"/>
  <c r="AA18" i="8" s="1"/>
  <c r="Z22" i="8"/>
  <c r="AA22" i="8" s="1"/>
  <c r="Z26" i="8"/>
  <c r="AA26" i="8" s="1"/>
  <c r="Z30" i="8"/>
  <c r="AA30" i="8" s="1"/>
  <c r="Z19" i="8"/>
  <c r="AA19" i="8" s="1"/>
  <c r="D8" i="37" s="1"/>
  <c r="Z23" i="8"/>
  <c r="AA23" i="8" s="1"/>
  <c r="Z27" i="8"/>
  <c r="AA27" i="8" s="1"/>
  <c r="Z31" i="8"/>
  <c r="AA31" i="8" s="1"/>
  <c r="Z17" i="8"/>
  <c r="AA17" i="8" s="1"/>
  <c r="D7" i="37" s="1"/>
  <c r="Z21" i="8"/>
  <c r="AA21" i="8" s="1"/>
  <c r="Z25" i="8"/>
  <c r="AA25" i="8" s="1"/>
  <c r="Z29" i="8"/>
  <c r="AA29" i="8" s="1"/>
  <c r="Z33" i="8"/>
  <c r="AA33" i="8" s="1"/>
  <c r="Z15" i="8"/>
  <c r="AA15" i="8" s="1"/>
  <c r="D9" i="37" l="1"/>
  <c r="C9" i="36"/>
  <c r="C7" i="36"/>
  <c r="C8" i="36"/>
  <c r="S11" i="27"/>
  <c r="S9" i="27"/>
  <c r="S10" i="27"/>
  <c r="L27" i="8" l="1"/>
  <c r="L26" i="8"/>
  <c r="L25" i="8"/>
  <c r="L24" i="8"/>
  <c r="L23" i="8"/>
  <c r="L22" i="8"/>
  <c r="L21" i="8"/>
  <c r="L20" i="8"/>
  <c r="L19" i="8"/>
  <c r="L18" i="8"/>
  <c r="L17" i="8"/>
  <c r="L16" i="8"/>
  <c r="L15" i="8"/>
  <c r="M22" i="8" l="1"/>
  <c r="M23" i="8"/>
  <c r="M20" i="8"/>
  <c r="M16" i="8"/>
  <c r="M24" i="8"/>
  <c r="M17" i="8"/>
  <c r="M25" i="8"/>
  <c r="M18" i="8"/>
  <c r="M26" i="8"/>
  <c r="M21" i="8"/>
  <c r="M19" i="8"/>
  <c r="M27" i="8"/>
  <c r="M15" i="8"/>
  <c r="L33" i="8"/>
  <c r="L32" i="8"/>
  <c r="L31" i="8"/>
  <c r="L30" i="8"/>
  <c r="L29" i="8"/>
  <c r="L28" i="8"/>
  <c r="M29" i="8" l="1"/>
  <c r="M30" i="8"/>
  <c r="M32" i="8"/>
  <c r="M33" i="8"/>
  <c r="M31" i="8"/>
  <c r="M28" i="8"/>
  <c r="C8" i="37" s="1"/>
  <c r="C8" i="34" l="1"/>
  <c r="C7" i="34"/>
  <c r="C9" i="37"/>
  <c r="C9" i="34"/>
  <c r="C7" i="37"/>
  <c r="R10" i="27"/>
  <c r="R11" i="27"/>
  <c r="R9"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Ken Holmes</author>
  </authors>
  <commentList>
    <comment ref="B12" authorId="0" shapeId="0" xr:uid="{38FA1EEA-3F67-40DE-B048-B27F26A95C96}">
      <text>
        <r>
          <rPr>
            <b/>
            <sz val="9"/>
            <color indexed="81"/>
            <rFont val="Tahoma"/>
            <family val="2"/>
          </rPr>
          <t>This section describes the nature of the risk and, as required by the ISO27001 standard, the risk owner.</t>
        </r>
      </text>
    </comment>
    <comment ref="G12" authorId="0" shapeId="0" xr:uid="{943B046B-31BE-4FF4-BCAA-EF33BDE1213A}">
      <text>
        <r>
          <rPr>
            <b/>
            <sz val="9"/>
            <color indexed="81"/>
            <rFont val="Tahoma"/>
            <family val="2"/>
          </rPr>
          <t>This is an assessment of the level of current risk, taking into account any controls already in place to address it.</t>
        </r>
      </text>
    </comment>
    <comment ref="N12" authorId="0" shapeId="0" xr:uid="{3E5710F8-87FD-4D0D-99F9-8ED1224DEFFB}">
      <text>
        <r>
          <rPr>
            <b/>
            <sz val="9"/>
            <color indexed="81"/>
            <rFont val="Tahoma"/>
            <family val="2"/>
          </rPr>
          <t>For those risks that are not accepted, a plan must be in place to take action to address the risk.</t>
        </r>
      </text>
    </comment>
    <comment ref="U12" authorId="0" shapeId="0" xr:uid="{BA793072-F17E-4063-BE48-B22B5BD9B333}">
      <text>
        <r>
          <rPr>
            <b/>
            <sz val="9"/>
            <color indexed="81"/>
            <rFont val="Tahoma"/>
            <family val="2"/>
          </rPr>
          <t>This section is used to assess what the level of risk will be, once the treatment actions have been carried out.</t>
        </r>
      </text>
    </comment>
    <comment ref="B13" authorId="0" shapeId="0" xr:uid="{9E369695-AD9B-46AF-A418-0ECCB87275DF}">
      <text>
        <r>
          <rPr>
            <b/>
            <sz val="9"/>
            <color indexed="81"/>
            <rFont val="Tahoma"/>
            <family val="2"/>
          </rPr>
          <t>Enter a reference number here.</t>
        </r>
      </text>
    </comment>
    <comment ref="C13" authorId="0" shapeId="0" xr:uid="{39F24915-85DE-4418-94CC-3E668FF31DDA}">
      <text>
        <r>
          <rPr>
            <b/>
            <sz val="9"/>
            <color indexed="81"/>
            <rFont val="Tahoma"/>
            <family val="2"/>
          </rPr>
          <t>A short name that the risk will be known by.</t>
        </r>
      </text>
    </comment>
    <comment ref="D13" authorId="0" shapeId="0" xr:uid="{A190CD4F-8CD1-479F-94B7-720951B05F5C}">
      <text>
        <r>
          <rPr>
            <b/>
            <sz val="9"/>
            <color indexed="81"/>
            <rFont val="Tahoma"/>
            <family val="2"/>
          </rPr>
          <t>Record the risk with as full a description as possible.</t>
        </r>
      </text>
    </comment>
    <comment ref="E13" authorId="0" shapeId="0" xr:uid="{C73680CE-3FA5-4802-9004-E80587DA6FD8}">
      <text>
        <r>
          <rPr>
            <b/>
            <sz val="9"/>
            <color indexed="81"/>
            <rFont val="Tahoma"/>
            <family val="2"/>
          </rPr>
          <t>Is this a risk to:
C = Confidentiality
I = Integrity
A = Availability
or a combination of these?</t>
        </r>
      </text>
    </comment>
    <comment ref="F13" authorId="0" shapeId="0" xr:uid="{1FC8833C-8717-4BC7-ACE7-77D991266F9D}">
      <text>
        <r>
          <rPr>
            <b/>
            <sz val="9"/>
            <color indexed="81"/>
            <rFont val="Tahoma"/>
            <family val="2"/>
          </rPr>
          <t>Name of the person responsible for the risk.</t>
        </r>
      </text>
    </comment>
    <comment ref="G13" authorId="0" shapeId="0" xr:uid="{DF1DAA71-BCDE-46D0-AB12-9F4D22407BA9}">
      <text>
        <r>
          <rPr>
            <b/>
            <sz val="9"/>
            <color indexed="81"/>
            <rFont val="Tahoma"/>
            <family val="2"/>
          </rPr>
          <t>Existing controls which could lessen the risk likelihood and/or impact.</t>
        </r>
      </text>
    </comment>
    <comment ref="H13" authorId="0" shapeId="0" xr:uid="{9BEA2735-F655-460A-9033-2698E7DCF981}">
      <text>
        <r>
          <rPr>
            <b/>
            <sz val="9"/>
            <color indexed="81"/>
            <rFont val="Tahoma"/>
            <family val="2"/>
          </rPr>
          <t>Select a score from 1 to 5, where 1 is a low likelihood and 5 is high.</t>
        </r>
      </text>
    </comment>
    <comment ref="I13" authorId="0" shapeId="0" xr:uid="{0B93335F-4954-4831-B874-29834EA6E8FF}">
      <text>
        <r>
          <rPr>
            <b/>
            <sz val="9"/>
            <color indexed="81"/>
            <rFont val="Tahoma"/>
            <family val="2"/>
          </rPr>
          <t>Reasoning for giving that likelihood score.</t>
        </r>
      </text>
    </comment>
    <comment ref="J13" authorId="0" shapeId="0" xr:uid="{4E98DAA8-7283-4D3C-846C-4D6B5439C4E3}">
      <text>
        <r>
          <rPr>
            <b/>
            <sz val="9"/>
            <color indexed="81"/>
            <rFont val="Tahoma"/>
            <family val="2"/>
          </rPr>
          <t>Select a score from 1 to 5, where 1 is low impact and 5 is high.</t>
        </r>
      </text>
    </comment>
    <comment ref="K13" authorId="0" shapeId="0" xr:uid="{4F2D345D-C781-4990-B129-D2E1F7CD2FC3}">
      <text>
        <r>
          <rPr>
            <b/>
            <sz val="9"/>
            <color indexed="81"/>
            <rFont val="Tahoma"/>
            <family val="2"/>
          </rPr>
          <t>Brief explanation of why the impact score was assigned.</t>
        </r>
      </text>
    </comment>
    <comment ref="L13" authorId="0" shapeId="0" xr:uid="{C05F6FB1-B76B-49B8-B880-E5863966EB18}">
      <text>
        <r>
          <rPr>
            <b/>
            <sz val="9"/>
            <color indexed="81"/>
            <rFont val="Tahoma"/>
            <family val="2"/>
          </rPr>
          <t>Risk score of between 1 and 25. This field will be automatically generated.</t>
        </r>
      </text>
    </comment>
    <comment ref="M13" authorId="0" shapeId="0" xr:uid="{10219E66-1FCB-47C0-A0A9-0D5060484272}">
      <text>
        <r>
          <rPr>
            <b/>
            <sz val="9"/>
            <color indexed="81"/>
            <rFont val="Tahoma"/>
            <family val="2"/>
          </rPr>
          <t>Risk level of low, medium or high, depending on the risk score. This field will be automatically generated.</t>
        </r>
      </text>
    </comment>
    <comment ref="N13" authorId="0" shapeId="0" xr:uid="{D084F3CC-6F7C-42FB-A3D2-3702642D9C17}">
      <text>
        <r>
          <rPr>
            <b/>
            <sz val="9"/>
            <color indexed="81"/>
            <rFont val="Tahoma"/>
            <family val="2"/>
          </rPr>
          <t>Select a risk treatment option from the drop-down menu.</t>
        </r>
      </text>
    </comment>
    <comment ref="O13" authorId="0" shapeId="0" xr:uid="{5A88E6CE-921F-404E-96B5-4B7163DE9542}">
      <text>
        <r>
          <rPr>
            <b/>
            <sz val="9"/>
            <color indexed="81"/>
            <rFont val="Tahoma"/>
            <family val="2"/>
          </rPr>
          <t xml:space="preserve">If appropriate, record the proposed controls intended to address the risk. These may be guided by ISO27001 Annex A reference controls, or taken from another source.  </t>
        </r>
      </text>
    </comment>
    <comment ref="P13" authorId="0" shapeId="0" xr:uid="{CA2914C8-6B49-46AB-9366-E7DDC3055B30}">
      <text>
        <r>
          <rPr>
            <b/>
            <sz val="9"/>
            <color indexed="81"/>
            <rFont val="Tahoma"/>
            <family val="2"/>
          </rPr>
          <t>If appropriate, give the specific reference information of the control(s) used to address the risk.</t>
        </r>
      </text>
    </comment>
    <comment ref="Q13" authorId="0" shapeId="0" xr:uid="{E724B07D-4C72-4664-92A6-ACD34EE63AF5}">
      <text>
        <r>
          <rPr>
            <b/>
            <sz val="9"/>
            <color indexed="81"/>
            <rFont val="Tahoma"/>
            <family val="2"/>
          </rPr>
          <t>How much money will the application of the proposed control(s)
 cost?</t>
        </r>
      </text>
    </comment>
    <comment ref="R13" authorId="0" shapeId="0" xr:uid="{773DF90E-52E9-4873-9C09-673F74B50E14}">
      <text>
        <r>
          <rPr>
            <b/>
            <sz val="9"/>
            <color indexed="81"/>
            <rFont val="Tahoma"/>
            <family val="2"/>
          </rPr>
          <t>The person or role tasked with completing the treatment action.</t>
        </r>
      </text>
    </comment>
    <comment ref="S13" authorId="0" shapeId="0" xr:uid="{0CEF16B6-0228-4DC0-88ED-B13C171B6965}">
      <text>
        <r>
          <rPr>
            <b/>
            <sz val="9"/>
            <color indexed="81"/>
            <rFont val="Tahoma"/>
            <family val="2"/>
          </rPr>
          <t>The date or timeframe by which the treatment action must be completed.</t>
        </r>
      </text>
    </comment>
    <comment ref="T13" authorId="0" shapeId="0" xr:uid="{816B701D-622A-4FD3-891A-C02716955D48}">
      <text>
        <r>
          <rPr>
            <b/>
            <sz val="9"/>
            <color indexed="81"/>
            <rFont val="Tahoma"/>
            <family val="2"/>
          </rPr>
          <t>A dated narrative of progress towards the completion of the treatment action.</t>
        </r>
      </text>
    </comment>
    <comment ref="U13" authorId="0" shapeId="0" xr:uid="{7CFDF163-A4B2-4165-85A2-73514EF7106A}">
      <text>
        <r>
          <rPr>
            <b/>
            <sz val="9"/>
            <color indexed="81"/>
            <rFont val="Tahoma"/>
            <family val="2"/>
          </rPr>
          <t>Whether the treatment action has been completed.</t>
        </r>
      </text>
    </comment>
    <comment ref="V13" authorId="0" shapeId="0" xr:uid="{D8633ADB-E07D-403D-8307-F908A9D8112F}">
      <text>
        <r>
          <rPr>
            <b/>
            <sz val="9"/>
            <color indexed="81"/>
            <rFont val="Tahoma"/>
            <family val="2"/>
          </rPr>
          <t>Select a score from 1 to 5, where 1 is a low likelihood and 5 is high.</t>
        </r>
      </text>
    </comment>
    <comment ref="W13" authorId="0" shapeId="0" xr:uid="{F9B3A9F9-48FF-414E-8D59-005FFF21C413}">
      <text>
        <r>
          <rPr>
            <b/>
            <sz val="9"/>
            <color indexed="81"/>
            <rFont val="Tahoma"/>
            <family val="2"/>
          </rPr>
          <t>Reasoning for giving that likelihood score.</t>
        </r>
      </text>
    </comment>
    <comment ref="X13" authorId="0" shapeId="0" xr:uid="{76B048B7-BCE9-4D6A-9BD3-273FCF368D64}">
      <text>
        <r>
          <rPr>
            <b/>
            <sz val="9"/>
            <color indexed="81"/>
            <rFont val="Tahoma"/>
            <family val="2"/>
          </rPr>
          <t>Select a score from 1 to 5, where 1 is low impact and 5 is high.</t>
        </r>
      </text>
    </comment>
    <comment ref="Y13" authorId="0" shapeId="0" xr:uid="{100C04F8-2E28-4692-84E9-7253EF18BA84}">
      <text>
        <r>
          <rPr>
            <b/>
            <sz val="9"/>
            <color indexed="81"/>
            <rFont val="Tahoma"/>
            <family val="2"/>
          </rPr>
          <t>Reasoning for giving that impact score.</t>
        </r>
      </text>
    </comment>
    <comment ref="Z13" authorId="0" shapeId="0" xr:uid="{BC085B28-33FC-47A3-9DBD-6BFAE46ACB63}">
      <text>
        <r>
          <rPr>
            <b/>
            <sz val="9"/>
            <color indexed="81"/>
            <rFont val="Tahoma"/>
            <family val="2"/>
          </rPr>
          <t>Risk score of between 1 and 25. This field will be automatically generated.</t>
        </r>
      </text>
    </comment>
    <comment ref="AA13" authorId="0" shapeId="0" xr:uid="{84933151-F8BE-4D10-B7CD-910223C87AAA}">
      <text>
        <r>
          <rPr>
            <b/>
            <sz val="9"/>
            <color indexed="81"/>
            <rFont val="Tahoma"/>
            <family val="2"/>
          </rPr>
          <t>Risk level of low, medium or high, depending on the risk score. This field will be automatically generated.</t>
        </r>
      </text>
    </comment>
    <comment ref="AB13" authorId="0" shapeId="0" xr:uid="{2A6B4ACF-D29C-4FC7-82E6-2C5FBAAA3EA7}">
      <text>
        <r>
          <rPr>
            <b/>
            <sz val="9"/>
            <color indexed="81"/>
            <rFont val="Tahoma"/>
            <family val="2"/>
          </rPr>
          <t>Enter any other comments here.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<sst xmlns="http://schemas.openxmlformats.org/spreadsheetml/2006/main" count="772" uniqueCount="432">
  <si>
    <t>Select…</t>
  </si>
  <si>
    <t>[Short, descriptive title]</t>
  </si>
  <si>
    <t>[Describe the general environment in which the analysis is carried out and internal and external factors affecting it]</t>
  </si>
  <si>
    <t>[Start at Version 1]</t>
  </si>
  <si>
    <t>[Name and title of approver]</t>
  </si>
  <si>
    <t>Assessment Details</t>
  </si>
  <si>
    <t>[Date the assessment was carried out]</t>
  </si>
  <si>
    <t>[Name and title of person(s) carrying out the risk assessment]</t>
  </si>
  <si>
    <t>[Names and titles of people contributing to the risk assessment]</t>
  </si>
  <si>
    <t>[Date the assessment was approved]</t>
  </si>
  <si>
    <t>Ref</t>
  </si>
  <si>
    <t>Risk Owner</t>
  </si>
  <si>
    <t>Likelihood</t>
  </si>
  <si>
    <t>Impact</t>
  </si>
  <si>
    <t>Risk level</t>
  </si>
  <si>
    <t>Comments</t>
  </si>
  <si>
    <t xml:space="preserve"> RISK DESCRIPTION</t>
  </si>
  <si>
    <t>ONE TO FIVE</t>
  </si>
  <si>
    <t>Accept</t>
  </si>
  <si>
    <t>Avoid</t>
  </si>
  <si>
    <t>Modify</t>
  </si>
  <si>
    <t>Share</t>
  </si>
  <si>
    <t>OPTIONS</t>
  </si>
  <si>
    <t>LIKELIHOOD</t>
  </si>
  <si>
    <t>DESCRIPTION</t>
  </si>
  <si>
    <t>SUMMARY</t>
  </si>
  <si>
    <t>Improbable</t>
  </si>
  <si>
    <t>Unlikely</t>
  </si>
  <si>
    <t>Likely</t>
  </si>
  <si>
    <t>Very Likely</t>
  </si>
  <si>
    <t>Almost certain</t>
  </si>
  <si>
    <t>Has never happened before and there is no reason to think it is any more likely now</t>
  </si>
  <si>
    <t>There is a possibility that it could happen, but it probably won't</t>
  </si>
  <si>
    <t>It would be a surprise if the risk did not occur either based on past frequency or current circumstances</t>
  </si>
  <si>
    <t>Either already happens regularly or there is some reason to believe it is virtually imminent</t>
  </si>
  <si>
    <t xml:space="preserve">On balance, the risk is more likely to happen than not
</t>
  </si>
  <si>
    <t>This table should be used as guidance to help to decide upon the correct impact rating for a particular threat.</t>
  </si>
  <si>
    <t>This table should be used to decide upon the most appropriate likelihood for a particular threat.</t>
  </si>
  <si>
    <t>Negligible</t>
  </si>
  <si>
    <t>No effect</t>
  </si>
  <si>
    <t>Very little or none</t>
  </si>
  <si>
    <t>Very small additional risk</t>
  </si>
  <si>
    <t>No implications</t>
  </si>
  <si>
    <t>Slight</t>
  </si>
  <si>
    <t>Some local disturbance to normal business operations</t>
  </si>
  <si>
    <t>Some</t>
  </si>
  <si>
    <t>Within acceptable limits</t>
  </si>
  <si>
    <t>Small risk of not meeting compliance</t>
  </si>
  <si>
    <t>Moderate</t>
  </si>
  <si>
    <t>Can still deliver product/service with some difficulty</t>
  </si>
  <si>
    <t>Unwelcome but could be borne</t>
  </si>
  <si>
    <t>Elevated risk requiring immediate attention</t>
  </si>
  <si>
    <t>In definite danger of operating illegally</t>
  </si>
  <si>
    <t>High</t>
  </si>
  <si>
    <t>Business is crippled in key areas</t>
  </si>
  <si>
    <t>Severe effect on income and/or profit</t>
  </si>
  <si>
    <t>Significant danger to life</t>
  </si>
  <si>
    <t>Operating illegally in some areas</t>
  </si>
  <si>
    <t>Very High</t>
  </si>
  <si>
    <t>Out of business; no service to customers</t>
  </si>
  <si>
    <t>Crippling; the organisation will go out of business</t>
  </si>
  <si>
    <t>Real or strong potential loss of life</t>
  </si>
  <si>
    <t>Severe fines and possible imprisonment of staff</t>
  </si>
  <si>
    <t>Impact rating</t>
  </si>
  <si>
    <t>General description</t>
  </si>
  <si>
    <t xml:space="preserve"> IMPACT AREAS</t>
  </si>
  <si>
    <t xml:space="preserve"> IMPACT LEVEL</t>
  </si>
  <si>
    <t>Damage to reputation</t>
  </si>
  <si>
    <t>The chart below shows the rating scheme used to determine risk level based on a combination of likelihood and impact.</t>
  </si>
  <si>
    <t xml:space="preserve"> Low</t>
  </si>
  <si>
    <t xml:space="preserve"> Medium</t>
  </si>
  <si>
    <t xml:space="preserve"> High</t>
  </si>
  <si>
    <t xml:space="preserve">Risk Assessment Scope
</t>
  </si>
  <si>
    <t>Risk Acceptance Criteria</t>
  </si>
  <si>
    <t xml:space="preserve">Version
</t>
  </si>
  <si>
    <t xml:space="preserve">Dated
</t>
  </si>
  <si>
    <t xml:space="preserve">Risk Assessors
</t>
  </si>
  <si>
    <t xml:space="preserve">Approval
</t>
  </si>
  <si>
    <t xml:space="preserve">Date Approved
</t>
  </si>
  <si>
    <t>Risk Assessment Participants</t>
  </si>
  <si>
    <t>Risk Assessment Title</t>
  </si>
  <si>
    <t xml:space="preserve">Security Classification
</t>
  </si>
  <si>
    <t>[Insert classification]</t>
  </si>
  <si>
    <t>Context of Risk Assessment</t>
  </si>
  <si>
    <t>[Set out the factors which will make a risk acceptable and therefore not require treatment]</t>
  </si>
  <si>
    <t>Risk Type</t>
  </si>
  <si>
    <t>RISK TYPE</t>
  </si>
  <si>
    <t>You may use this table to help to identify relevant risks for your organization and to define where the controls from Annex A of ISO/IEC 27001 are applicable.</t>
  </si>
  <si>
    <t>REF</t>
  </si>
  <si>
    <t>ANNEX A CONTROL</t>
  </si>
  <si>
    <t>It is not clear what the organization's rules are for managing information security. Employees and others aren't aware of what they should be doing to protect the organization</t>
  </si>
  <si>
    <t>It is not clear who should be doing what with respect to information security</t>
  </si>
  <si>
    <t>The organization is unaware of their legal or regulatory responsibilities and may break the law without realising it</t>
  </si>
  <si>
    <t>The organization lacks up to date knowledge of information security issues such as current threats, new controls and other relevant information</t>
  </si>
  <si>
    <t>Information gathered and created during projects is not adequately protected</t>
  </si>
  <si>
    <t>A teleworking site does not meet the information security standards ensured at main locations and data is exposed to loss or theft</t>
  </si>
  <si>
    <t>It is not clear to employees what their responsibilities for information security are</t>
  </si>
  <si>
    <t>It is not clear what assets we are trying to protect and where they are located</t>
  </si>
  <si>
    <t>No-one takes responsibility for protecting specific assets</t>
  </si>
  <si>
    <t>Information and assets are used in ways that are not acceptable to the organization e.g. devices are physically abused and information left exposed</t>
  </si>
  <si>
    <t>Assets are not returned when someone leaves the organization</t>
  </si>
  <si>
    <t>Assets that are stored with a cloud service provider are not returned</t>
  </si>
  <si>
    <t>It is not clear how specific items of information should be protected</t>
  </si>
  <si>
    <t>Employees are unable to tell how information should be protected</t>
  </si>
  <si>
    <t>Assets are handled inappropriately due to a lack of definition of how they should be addressed</t>
  </si>
  <si>
    <t>Removable media is used without effective protection of the data held on it</t>
  </si>
  <si>
    <t>Employees or third parties have access to information without authorisation or by mistake</t>
  </si>
  <si>
    <t>User accounts are created without authority or not removed when no longer needed</t>
  </si>
  <si>
    <t>Users are given an inappropriate level of access within systems</t>
  </si>
  <si>
    <t>Inappropriate levels of access remain in place long term and attempts to increase permissions are not spotted</t>
  </si>
  <si>
    <t>Ex-users still have access even when they have left the organization</t>
  </si>
  <si>
    <t>Users share user accounts and let others know their passwords</t>
  </si>
  <si>
    <t>Too much access is allowed to a user where their role does not require it</t>
  </si>
  <si>
    <t>Logon to secure systems is possible by unauthorised users</t>
  </si>
  <si>
    <t>Users do not set appropriately-strong passwords</t>
  </si>
  <si>
    <t>The use of encryption within the organization is haphazard and uncoordinated, resulting in a lack of effectiveness and possible illegal use</t>
  </si>
  <si>
    <t>It is not clear where physical security has been, or needs to be, applied</t>
  </si>
  <si>
    <t>Unauthorised people are able to gain physical access to sensitive information</t>
  </si>
  <si>
    <t>People in secure areas leave the area open to attack or unauthorised access</t>
  </si>
  <si>
    <t>Screens showing sensitive information can be seen by unauthorised people</t>
  </si>
  <si>
    <t>Essential facilities are disabled due to a power outage</t>
  </si>
  <si>
    <t>Equipment, information or software is removed from a location without the knowledge or permission of the organization</t>
  </si>
  <si>
    <t>Assets containing sensitive information are left unprotected whilst offsite</t>
  </si>
  <si>
    <t>Sensitive information can be read from storage media that has been disposed of or reused</t>
  </si>
  <si>
    <t>Support staff, e.g. cleaners and security personnel, are able to read sensitive information left unattended on desks</t>
  </si>
  <si>
    <t>Systems run slowly or not at all because the resources required are not available</t>
  </si>
  <si>
    <t>An administrator of a cloud service makes a serious and unrecoverable error that affects service availability or security</t>
  </si>
  <si>
    <t>Suspicious events are not detected due to inadequate logs being kept</t>
  </si>
  <si>
    <t>Incriminating logs are wiped or altered by an attacker</t>
  </si>
  <si>
    <t>The time sequence of an attack cannot be identified because each of the clocks involved tell a different time</t>
  </si>
  <si>
    <t>The organization can't tell if a cloud service has been compromised because no logs are kept</t>
  </si>
  <si>
    <t>Software is installed on an operational system which causes an unwanted effect e.g. compatibility issues or the introduction of vulnerabilities</t>
  </si>
  <si>
    <t>A user installs some software that introduces vulnerabilities to the organization and its network</t>
  </si>
  <si>
    <t>The required security mechanisms, service levels and management requirements for network services are not agreed with the supplier and so are not provided</t>
  </si>
  <si>
    <t>Information in transit is intercepted and compromised</t>
  </si>
  <si>
    <t>Confidential information is shared with others by a third party because it was not agreed that this is not allowed</t>
  </si>
  <si>
    <t>Information involved in application services is intercepted and modified in order to commit fraud</t>
  </si>
  <si>
    <t>Software is written that has an unacceptable level of vulnerabilities</t>
  </si>
  <si>
    <t>Changes are uncontrolled whilst in development leading to poor quality software and badly-defined releases</t>
  </si>
  <si>
    <t>Business critical applications are adversely affected when the underlying operating platform is changed</t>
  </si>
  <si>
    <t>Significant modifications to software packages introduce security vulnerabilities, functionality issues and support problems</t>
  </si>
  <si>
    <t>Security functionality doesn't work correctly in live software</t>
  </si>
  <si>
    <t>Newly-implemented systems don't work as intended</t>
  </si>
  <si>
    <t>Test data doesn't identify issues with the software being tested and is itself of value to an attacker (e.g. if copied from live data)</t>
  </si>
  <si>
    <t>An attacker gains access to the organization's network using logon credentials obtained from a supplier who has legitimate access</t>
  </si>
  <si>
    <t>A supplier, who provides services to and has access to the organization's information, has inadequate security controls in place and suffers a breach involving the organization's data</t>
  </si>
  <si>
    <t>A supplier uses contractors who do not have adequate security controls in place</t>
  </si>
  <si>
    <t>A supplier is not delivering the level of service that they should</t>
  </si>
  <si>
    <t>It is not clear who should do what when an information security incident occurs</t>
  </si>
  <si>
    <t>Management is not aware that an information security event has been detected</t>
  </si>
  <si>
    <t>Weaknesses in information security do not get addressed because they are not reported</t>
  </si>
  <si>
    <t>No decisions are taken about whether events should be escalated to incidents</t>
  </si>
  <si>
    <t>The response to information security incidents is inadequate and procedures are not used</t>
  </si>
  <si>
    <t>Nothing is learned from incidents and no improvements are made</t>
  </si>
  <si>
    <t>No usable or admissible evidence is collected as a result of a lack of awareness of how this must be done. Because of this, nobody can be prosecuted</t>
  </si>
  <si>
    <t>It is not known what level of information security must be provided during a disruptive event</t>
  </si>
  <si>
    <t>Information security controls become ineffective when a disruptive event happens</t>
  </si>
  <si>
    <t>The intended information security controls don't work during a disruptive event because they have never been tested</t>
  </si>
  <si>
    <t>Information processing facilities fail due to a lack of sufficient redundancy</t>
  </si>
  <si>
    <t>It is not known what legislative, regulatory and contractual requirements each information system must meet and, as a result, such requirements are not met</t>
  </si>
  <si>
    <t>The organization is subject to legal action as a result of breaching intellectual property rights and licensing requirements</t>
  </si>
  <si>
    <t>Records that are required to be kept are lost, falsified or accessed, resulting in legal or contractual issues</t>
  </si>
  <si>
    <t>Laws requiring the protection of personally identifiable information are breached, resulting in prosecution and fines</t>
  </si>
  <si>
    <t>Cryptography is used inappropriately, resulting in prosecution</t>
  </si>
  <si>
    <t>The implementation of information security is never independently checked and many controls do not work as intended</t>
  </si>
  <si>
    <t>Management does not check that policies and procedures are being followed and people stop using them over time</t>
  </si>
  <si>
    <t>As systems evolve, security controls become less effective and more vulnerable to attack</t>
  </si>
  <si>
    <t>A.11.1.2 Physical entry controls</t>
  </si>
  <si>
    <t>Effect on customers</t>
  </si>
  <si>
    <t>Financial cost</t>
  </si>
  <si>
    <t>Health and Safety</t>
  </si>
  <si>
    <t>Legal, Contractual and Organizational Compliance</t>
  </si>
  <si>
    <t>The following list of reference controls is used within the risk assessment worksheets.</t>
  </si>
  <si>
    <t xml:space="preserve"> REF</t>
  </si>
  <si>
    <t>Scenario-Based Risk Assessment and Treatment Tool</t>
  </si>
  <si>
    <t>Risk Summary</t>
  </si>
  <si>
    <t>Risk Description</t>
  </si>
  <si>
    <t>Start with the risks that are felt to have the highest likelihood and impact combination first.</t>
  </si>
  <si>
    <t>Existing Controls</t>
  </si>
  <si>
    <t>Likelihood Rationale</t>
  </si>
  <si>
    <t>Impact Rationale</t>
  </si>
  <si>
    <t>Risk Score</t>
  </si>
  <si>
    <t>Risk Level</t>
  </si>
  <si>
    <t>Treatment Option Chosen</t>
  </si>
  <si>
    <t>Post-Treatment Likelihood</t>
  </si>
  <si>
    <t>Post-Treatment Likelihood Rationale</t>
  </si>
  <si>
    <t>Post-Treatment Impact Rationale</t>
  </si>
  <si>
    <t>Post-Treatment Risk Score</t>
  </si>
  <si>
    <t>Post-Treatment Risk Level</t>
  </si>
  <si>
    <t>The following list shows each of the reference controls and gives examples of the types of risks that they may be used to treat.</t>
  </si>
  <si>
    <t>EXAMPLE RISK(S)</t>
  </si>
  <si>
    <t>[Describe the scope of the risk assessment - for example, location, process, assets]</t>
  </si>
  <si>
    <t>Pre-Treatment</t>
  </si>
  <si>
    <t>Risk Likelihood</t>
  </si>
  <si>
    <t>C</t>
  </si>
  <si>
    <t>A</t>
  </si>
  <si>
    <t>I</t>
  </si>
  <si>
    <t>CI</t>
  </si>
  <si>
    <t>CA</t>
  </si>
  <si>
    <t>IA</t>
  </si>
  <si>
    <t>CIA</t>
  </si>
  <si>
    <t>Post-Treatment</t>
  </si>
  <si>
    <t>Risks: Pre and Post Treatment</t>
  </si>
  <si>
    <t>Column Labels</t>
  </si>
  <si>
    <t>Grand Total</t>
  </si>
  <si>
    <t>Row Labels</t>
  </si>
  <si>
    <t>Count of Risk Summary</t>
  </si>
  <si>
    <t>Count of Risk Level</t>
  </si>
  <si>
    <t>Risk Type Table</t>
  </si>
  <si>
    <t>Risk Owner Table</t>
  </si>
  <si>
    <t>Pivot Tables</t>
  </si>
  <si>
    <t>Treatment Option Table</t>
  </si>
  <si>
    <t>Selection Tables</t>
  </si>
  <si>
    <t>Treatment Cost</t>
  </si>
  <si>
    <t>Treatment Cost Table</t>
  </si>
  <si>
    <t>Sum of Treatment Cost</t>
  </si>
  <si>
    <t>Treatment Action Owner</t>
  </si>
  <si>
    <t>Treatment Action Timescale</t>
  </si>
  <si>
    <t>Treatment Action Status</t>
  </si>
  <si>
    <t>Treatment Action Progress</t>
  </si>
  <si>
    <t xml:space="preserve"> TREATMENT PLAN</t>
  </si>
  <si>
    <t>Post- Treatment Impact</t>
  </si>
  <si>
    <t xml:space="preserve"> PRE-TREATMENT ASSESSMENT</t>
  </si>
  <si>
    <t xml:space="preserve"> POST-TREATMENT ASSESSMENT</t>
  </si>
  <si>
    <t>Proposed Treatment Action</t>
  </si>
  <si>
    <t>Completed</t>
  </si>
  <si>
    <t>Not Started</t>
  </si>
  <si>
    <t>In Progress</t>
  </si>
  <si>
    <t>Rejected</t>
  </si>
  <si>
    <t>TREATMENT ACTION STATUS</t>
  </si>
  <si>
    <r>
      <rPr>
        <b/>
        <sz val="18"/>
        <color theme="2" tint="-0.499984740745262"/>
        <rFont val="Calibri"/>
        <family val="2"/>
        <scheme val="minor"/>
      </rPr>
      <t>Implementation Guidance</t>
    </r>
    <r>
      <rPr>
        <sz val="11"/>
        <color rgb="FF444444"/>
        <rFont val="Calibri"/>
        <family val="2"/>
        <scheme val="minor"/>
      </rPr>
      <t xml:space="preserve">
</t>
    </r>
    <r>
      <rPr>
        <sz val="11"/>
        <color theme="1"/>
        <rFont val="Calibri"/>
        <family val="2"/>
        <scheme val="minor"/>
      </rPr>
      <t>This document should be used to perform a risk assessment, including assessing the expected effects of treatments.</t>
    </r>
  </si>
  <si>
    <r>
      <rPr>
        <b/>
        <sz val="16"/>
        <color theme="2" tint="-0.499984740745262"/>
        <rFont val="Calibri"/>
        <family val="2"/>
        <scheme val="minor"/>
      </rPr>
      <t>Purpose of this document</t>
    </r>
    <r>
      <rPr>
        <sz val="11"/>
        <color rgb="FF444444"/>
        <rFont val="Calibri"/>
        <family val="2"/>
        <scheme val="minor"/>
      </rPr>
      <t xml:space="preserve">
</t>
    </r>
    <r>
      <rPr>
        <sz val="11"/>
        <color theme="1"/>
        <rFont val="Calibri"/>
        <family val="2"/>
        <scheme val="minor"/>
      </rPr>
      <t>This document should be used to perform a scenario-based risk assessment, including assessing the expected effects of treatments.</t>
    </r>
  </si>
  <si>
    <r>
      <rPr>
        <b/>
        <sz val="16"/>
        <color theme="2" tint="-0.499984740745262"/>
        <rFont val="Calibri"/>
        <family val="2"/>
        <scheme val="minor"/>
      </rPr>
      <t>Design</t>
    </r>
    <r>
      <rPr>
        <sz val="11"/>
        <color rgb="FF444444"/>
        <rFont val="Calibri"/>
        <family val="2"/>
        <scheme val="minor"/>
      </rPr>
      <t xml:space="preserve">
</t>
    </r>
    <r>
      <rPr>
        <sz val="11"/>
        <color theme="1"/>
        <rFont val="Calibri"/>
        <family val="2"/>
        <scheme val="minor"/>
      </rPr>
      <t>This spreadsheet has been designed using CertiKit's colour scheme. To choose a different table colour scheme, click in the table, select the Table Design menu tab and choose a  different style. The same applies to the drop-down menu "slicers" at the top of the screen. Click in one slicer, then hold down the Shift key and click on the rest, one by one. This will select them all. Then click on the Slicer menu tab and choose a different style. You can also create your own table and slicer styles using your own colour scheme to reflect your organization's branding.</t>
    </r>
  </si>
  <si>
    <r>
      <rPr>
        <b/>
        <sz val="16"/>
        <color theme="2" tint="-0.499984740745262"/>
        <rFont val="Calibri"/>
        <family val="2"/>
        <scheme val="minor"/>
      </rPr>
      <t>Areas of the standard addressed</t>
    </r>
    <r>
      <rPr>
        <sz val="11"/>
        <color rgb="FF444444"/>
        <rFont val="Calibri"/>
        <family val="2"/>
        <scheme val="minor"/>
      </rPr>
      <t xml:space="preserve">
The following areas of the ISO/IEC 27001 standard are addressed:
</t>
    </r>
    <r>
      <rPr>
        <i/>
        <sz val="11"/>
        <color rgb="FF444444"/>
        <rFont val="Calibri"/>
        <family val="2"/>
        <scheme val="minor"/>
      </rPr>
      <t>6.1 Actions to address risks and opportunities
6.1.2 Information security risk assessment
6.1.3 Information security risk treatment</t>
    </r>
  </si>
  <si>
    <r>
      <rPr>
        <b/>
        <sz val="16"/>
        <color theme="2" tint="-0.499984740745262"/>
        <rFont val="Calibri"/>
        <family val="2"/>
        <scheme val="minor"/>
      </rPr>
      <t>Review frequency</t>
    </r>
    <r>
      <rPr>
        <sz val="11"/>
        <color rgb="FF444444"/>
        <rFont val="Calibri"/>
        <family val="2"/>
        <scheme val="minor"/>
      </rPr>
      <t xml:space="preserve">
It is a good idea to revisit this risk assessment on a regular basis and to ensure that new risks that occur are identified and assessed.</t>
    </r>
  </si>
  <si>
    <r>
      <rPr>
        <b/>
        <sz val="16"/>
        <color theme="2" tint="-0.499984740745262"/>
        <rFont val="Calibri"/>
        <family val="2"/>
        <scheme val="minor"/>
      </rPr>
      <t>Copyright notice</t>
    </r>
    <r>
      <rPr>
        <sz val="11"/>
        <color rgb="FF444444"/>
        <rFont val="Calibri"/>
        <family val="2"/>
        <scheme val="minor"/>
      </rPr>
      <t xml:space="preserve">
</t>
    </r>
    <r>
      <rPr>
        <sz val="11"/>
        <color theme="1"/>
        <rFont val="Calibri"/>
        <family val="2"/>
        <scheme val="minor"/>
      </rPr>
      <t>Except for any specifically identified third-party works included, this document has been authored by CertiKit, and is ©CertiKit except as stated below. CertiKit is a company registered in England and Wales with company number 6432088.</t>
    </r>
  </si>
  <si>
    <r>
      <rPr>
        <b/>
        <sz val="16"/>
        <color theme="2" tint="-0.499984740745262"/>
        <rFont val="Calibri"/>
        <family val="2"/>
        <scheme val="minor"/>
      </rPr>
      <t>Disclaimer</t>
    </r>
    <r>
      <rPr>
        <sz val="11"/>
        <color rgb="FF444444"/>
        <rFont val="Calibri"/>
        <family val="2"/>
        <scheme val="minor"/>
      </rPr>
      <t xml:space="preserve">
</t>
    </r>
    <r>
      <rPr>
        <sz val="11"/>
        <color theme="1"/>
        <rFont val="Calibri"/>
        <family val="2"/>
        <scheme val="minor"/>
      </rPr>
      <t>Please Note: Your use of and reliance on this document template is at your sole risk. Document templates are intended to be used as a starting point only from which you will create your own document and to which you will apply all reasonable quality checks before use.
Therefore please note that it is your responsibility to ensure that the content of any document you create that is based on our templates is correct and appropriate for your needs and complies with relevant laws in your country. You should take all reasonable and proper legal and other professional advice before using this document. 
CertiKit makes no claims, promises, or guarantees about the accuracy, completeness, or adequacy of our document templates, assumes no duty of care to any person with respect its document templates or their contents, and expressly excludes and disclaims liability for any cost, expense, loss or damage suffered or incurred in reliance on our document templates, or in expectation of our document templates meeting your needs, including (without limitation) as a result of misstatements, errors and omissions in their contents.</t>
    </r>
  </si>
  <si>
    <r>
      <rPr>
        <b/>
        <sz val="16"/>
        <color theme="2" tint="-0.499984740745262"/>
        <rFont val="Calibri"/>
        <family val="2"/>
        <scheme val="minor"/>
      </rPr>
      <t>Licence terms</t>
    </r>
    <r>
      <rPr>
        <sz val="11"/>
        <color rgb="FF444444"/>
        <rFont val="Calibri"/>
        <family val="2"/>
        <scheme val="minor"/>
      </rPr>
      <t xml:space="preserve">
</t>
    </r>
    <r>
      <rPr>
        <sz val="11"/>
        <color theme="1"/>
        <rFont val="Calibri"/>
        <family val="2"/>
        <scheme val="minor"/>
      </rPr>
      <t>This document is licensed on and subject to the standard licence terms of CertiKit, available on request, or by download from our website.  All other rights are reserved.  Unless you have purchased this product you only have an evaluation licence.  If this product was purchased, a full licence is granted to the person identified as the licensee in the relevant purchase order.  The standard licence terms include special terms relating to any third party copyright included in this document.</t>
    </r>
  </si>
  <si>
    <t>Pre-treatment assessment</t>
  </si>
  <si>
    <t>Post-treatment assessment</t>
  </si>
  <si>
    <t>Risk profile diagram</t>
  </si>
  <si>
    <t>The charts below show the spread of risk severities before and after risk treatment.</t>
  </si>
  <si>
    <t>Pre-treatment</t>
  </si>
  <si>
    <t>Post-treatment</t>
  </si>
  <si>
    <t>INSIGNIFICANT
1</t>
  </si>
  <si>
    <t>MINOR
2</t>
  </si>
  <si>
    <t>SIGNIFICANT
3</t>
  </si>
  <si>
    <t>MAJOR
4</t>
  </si>
  <si>
    <t>SEVERE
5</t>
  </si>
  <si>
    <t>ALMOST
CERTAIN
5</t>
  </si>
  <si>
    <t>MEDIUM
5</t>
  </si>
  <si>
    <t>MEDIUM
10</t>
  </si>
  <si>
    <t>HIGH
15</t>
  </si>
  <si>
    <t>HIGH
20</t>
  </si>
  <si>
    <t>HIGH
25</t>
  </si>
  <si>
    <t>LIKELY
4</t>
  </si>
  <si>
    <t>LOW
4</t>
  </si>
  <si>
    <t>MEDIUM
8</t>
  </si>
  <si>
    <t>HIGH
12</t>
  </si>
  <si>
    <t>HIGH
16</t>
  </si>
  <si>
    <t>MODERATE
3</t>
  </si>
  <si>
    <t>LOW
3</t>
  </si>
  <si>
    <t>MEDIUM
6</t>
  </si>
  <si>
    <t>MEDIUM
9</t>
  </si>
  <si>
    <t>UNLIKELY
2</t>
  </si>
  <si>
    <t>LOW
2</t>
  </si>
  <si>
    <t>RARE
1</t>
  </si>
  <si>
    <t>LOW
1</t>
  </si>
  <si>
    <t>Risk impact</t>
  </si>
  <si>
    <t>Treatment plan</t>
  </si>
  <si>
    <t>To refresh chart data on the risk dashboard, click on “Refresh All” on the Data ribbon.</t>
  </si>
  <si>
    <t>IMPACT: How major could the consequences be if the risk event happened?</t>
  </si>
  <si>
    <t>LIKELIHOOD: What are the chances of the risk event happening?</t>
  </si>
  <si>
    <t>Classification of risk level</t>
  </si>
  <si>
    <t>Calculated</t>
  </si>
  <si>
    <t>Number of Pre-treatment risks by risk level</t>
  </si>
  <si>
    <t xml:space="preserve">Pre-treatment </t>
  </si>
  <si>
    <t>Pre-treatment risk levels by risk owner</t>
  </si>
  <si>
    <t>(blank)</t>
  </si>
  <si>
    <t xml:space="preserve">Risk Level </t>
  </si>
  <si>
    <t>Number of Post-mitigation risks by risk level</t>
  </si>
  <si>
    <t xml:space="preserve">Post-treatment </t>
  </si>
  <si>
    <t>Number of risks by risk level pre and post treatment</t>
  </si>
  <si>
    <t>Risks by treatment option chosen</t>
  </si>
  <si>
    <t>Total treatment cost by risk level</t>
  </si>
  <si>
    <t xml:space="preserve">Treatment action owner </t>
  </si>
  <si>
    <t>Count of Treatment Action Owner</t>
  </si>
  <si>
    <t>Annex A/Control Reference</t>
  </si>
  <si>
    <t>Employees and contractors are not aware of information security policies and  are unable to spot potential breaches</t>
  </si>
  <si>
    <t>The consequences of committing an information security breach are not sufficiently clear to employees</t>
  </si>
  <si>
    <t>Systems are designed without adequate regard to, or knowledge of, information security</t>
  </si>
  <si>
    <r>
      <rPr>
        <b/>
        <sz val="16"/>
        <color theme="2" tint="-0.499984740745262"/>
        <rFont val="Calibri"/>
        <family val="2"/>
        <scheme val="minor"/>
      </rPr>
      <t>Toolkit version number</t>
    </r>
    <r>
      <rPr>
        <sz val="11"/>
        <color rgb="FF444444"/>
        <rFont val="Calibri"/>
        <family val="2"/>
        <scheme val="minor"/>
      </rPr>
      <t xml:space="preserve">
</t>
    </r>
    <r>
      <rPr>
        <sz val="11"/>
        <color theme="1"/>
        <rFont val="Calibri"/>
        <family val="2"/>
        <scheme val="minor"/>
      </rPr>
      <t>ISO/IEC 27001 Toolkit Version 12</t>
    </r>
  </si>
  <si>
    <r>
      <rPr>
        <b/>
        <sz val="16"/>
        <color theme="2" tint="-0.499984740745262"/>
        <rFont val="Calibri"/>
        <family val="2"/>
        <scheme val="minor"/>
      </rPr>
      <t>General guidance</t>
    </r>
    <r>
      <rPr>
        <sz val="11"/>
        <color rgb="FF444444"/>
        <rFont val="Calibri"/>
        <family val="2"/>
        <scheme val="minor"/>
      </rPr>
      <t xml:space="preserve">
The key objective of the risk assessment is to ensure that all of the serious risks that need treatment are identified so that something can be done about them. Be careful not to make your risk assessment too large or complicated as much of the impact will be lost and it will be difficult to repeat at a later date. This tool is intended to be used to assess the effects of the proposed treatments also, so that the level of residual risk can be shown.
If you need to select more than one control for a specific risk simply list all of the controls in the same cell by copying and pasting them from the Reference Controls tab.
A summary of the type of risk that each Annex A control is intended to address is included to aid understanding and help in identifying risks. This may also be useful when completing your Statement of Applicability.</t>
    </r>
  </si>
  <si>
    <t>ISO/IEC 27001 Annex A Reference Controls</t>
  </si>
  <si>
    <t>A.5 Organizational controls</t>
  </si>
  <si>
    <t>A.5.1 Policies for information security</t>
  </si>
  <si>
    <t>A.5.2 Information security roles and responsibilities</t>
  </si>
  <si>
    <t>A.5.3 Segregation of duties</t>
  </si>
  <si>
    <t>A.5.4 Management responsibilities</t>
  </si>
  <si>
    <t>A.5.5 Contact with authorities</t>
  </si>
  <si>
    <t>A.5.6 Contact with special interest groups</t>
  </si>
  <si>
    <t>A.5.7 Threat intelligence</t>
  </si>
  <si>
    <t>A.5.8 Information security in project management</t>
  </si>
  <si>
    <t>A.5.9 Inventory of information and other associated assets</t>
  </si>
  <si>
    <t>A.5.10 Acceptable use of information and other associated assets</t>
  </si>
  <si>
    <t>A.5.11 Return of assets</t>
  </si>
  <si>
    <t>A.5.12 Classification of information</t>
  </si>
  <si>
    <t>A.5.13 Labelling of information</t>
  </si>
  <si>
    <t>A.5.14 Information transfer</t>
  </si>
  <si>
    <t>A.5.15 Access control</t>
  </si>
  <si>
    <t>A.5.16 Identity management</t>
  </si>
  <si>
    <t>A.5.17 Authentication information</t>
  </si>
  <si>
    <t>A.5.18 Access rights</t>
  </si>
  <si>
    <t>A.5.19 Information security in supplier relationships</t>
  </si>
  <si>
    <t>A.5.20 Addressing information security within supplier agreements</t>
  </si>
  <si>
    <t>A.5.21 Managing information security in the ICT supply chain</t>
  </si>
  <si>
    <t>A.5.22 Monitoring, review and change management of supplier services</t>
  </si>
  <si>
    <t>A.5.23 Information security for use of cloud services</t>
  </si>
  <si>
    <t>A.5.24 Information security incident management planning and preparation</t>
  </si>
  <si>
    <t>A.5.25 Assessment and decision on information security events</t>
  </si>
  <si>
    <t>A.5.26 Response to information security incidents</t>
  </si>
  <si>
    <t>A.5.27 Learning from information security incidents</t>
  </si>
  <si>
    <t>A.5.28 Collection of evidence</t>
  </si>
  <si>
    <t>A.5.29 Information security during disruption</t>
  </si>
  <si>
    <t>A.5.30 ICT readiness for business continuity</t>
  </si>
  <si>
    <t>A.5.31 Legal, statutory, regulatory and contractual requirements</t>
  </si>
  <si>
    <t>A.5.32 Intellectual property rights</t>
  </si>
  <si>
    <t>A.5.33 Protection of records</t>
  </si>
  <si>
    <t>A.5.34 Privacy and protection of PII</t>
  </si>
  <si>
    <t>A.5.35 Independent review of information security</t>
  </si>
  <si>
    <t>A.5.36 Compliance with policies, rules and standards for information security</t>
  </si>
  <si>
    <t>A.5.37 Documented operating procedures</t>
  </si>
  <si>
    <t>A.6 People controls</t>
  </si>
  <si>
    <t>A.6.1 Screening</t>
  </si>
  <si>
    <t>A.6.2 Terms and conditions of employment</t>
  </si>
  <si>
    <t>A.6.3 Information security awareness, education and training</t>
  </si>
  <si>
    <t>A.6.4 Disciplinary process</t>
  </si>
  <si>
    <t>A.6.5 Responsibilities after termination or change of employment</t>
  </si>
  <si>
    <t>A.6.6 Confidentiality or non-disclosure agreements</t>
  </si>
  <si>
    <t>A.6.7 Remote working</t>
  </si>
  <si>
    <t>A.6.8 Information security event reporting</t>
  </si>
  <si>
    <t>A.7 Physical controls</t>
  </si>
  <si>
    <t>A.7.1 Physical security perimeters</t>
  </si>
  <si>
    <t>A.7.2 Physical entry</t>
  </si>
  <si>
    <t>A.7.3 Securing offices, rooms and facilities</t>
  </si>
  <si>
    <t>A.7.4 Physical security monitoring</t>
  </si>
  <si>
    <t>A.7.5 Protecting against physical and environmental threats</t>
  </si>
  <si>
    <t>A.7.6 Working in secure areas</t>
  </si>
  <si>
    <t>A.7.7 Clear desk and clear screen</t>
  </si>
  <si>
    <t>A.7.8 Equipment siting and protection</t>
  </si>
  <si>
    <t>A.7.9 Security of assets off-premises</t>
  </si>
  <si>
    <t>A.7.10 Storage media</t>
  </si>
  <si>
    <t>A.7.11 Supporting utilities</t>
  </si>
  <si>
    <t>A.7.12 Cabling security</t>
  </si>
  <si>
    <t>A.7.13 Equipment maintenance</t>
  </si>
  <si>
    <t>A.7.14 Secure disposal or re-use of equipment</t>
  </si>
  <si>
    <t>A.8 Technological controls</t>
  </si>
  <si>
    <t>A.8.1 User endpoint devices</t>
  </si>
  <si>
    <t>A.8.2 Privileged access rights</t>
  </si>
  <si>
    <t>A.8.3 Information access restriction</t>
  </si>
  <si>
    <t>A.8.4 Access to source code</t>
  </si>
  <si>
    <t>A.8.5 Secure authentication</t>
  </si>
  <si>
    <t>A.8.6 Capacity management</t>
  </si>
  <si>
    <t>A.8.7 Protection against malware</t>
  </si>
  <si>
    <t>A.8.8 Management of technical vulnerabilities</t>
  </si>
  <si>
    <t>A.8.9 Configuration management</t>
  </si>
  <si>
    <t>A.8.10 Information deletion</t>
  </si>
  <si>
    <t>A.8.11 Data masking</t>
  </si>
  <si>
    <t>A.8.12 Data leakage prevention</t>
  </si>
  <si>
    <t>A.8.13 Information backup</t>
  </si>
  <si>
    <t>A.8.14 Redundancy of information processing facilities</t>
  </si>
  <si>
    <t>A.8.15 Logging</t>
  </si>
  <si>
    <t>A.8.16 Monitoring activities</t>
  </si>
  <si>
    <t>A.8.17 Clock synchronization</t>
  </si>
  <si>
    <t>A.8.18 Use of privileged utility programs</t>
  </si>
  <si>
    <t>A.8.19 Installation of software on operational systems</t>
  </si>
  <si>
    <t>A.8.20 Networks security</t>
  </si>
  <si>
    <t>A.8.21 Security of network services</t>
  </si>
  <si>
    <t>A.8.22 Segregation of networks</t>
  </si>
  <si>
    <t>A.8.23 Web filtering</t>
  </si>
  <si>
    <t>A.8.24 Use of cryptography</t>
  </si>
  <si>
    <t>A.8.25 Secure development life cycle</t>
  </si>
  <si>
    <t>A.8.26 Application security requirements</t>
  </si>
  <si>
    <t>A.8.27 Secure system architecture and engineering principles</t>
  </si>
  <si>
    <t>A.8.28 Secure coding</t>
  </si>
  <si>
    <t>A.8.29 Security testing in development and acceptance</t>
  </si>
  <si>
    <t>A.8.30 Outsourced development</t>
  </si>
  <si>
    <t>A.8.31 Separation of development, test and production environments</t>
  </si>
  <si>
    <t>A.8.32 Change management</t>
  </si>
  <si>
    <t>A.8.33 Test information</t>
  </si>
  <si>
    <t>A.8.34 Protection of information systems during audit testing</t>
  </si>
  <si>
    <t>ISO/IEC 27001 Annex A Example Risks and Reference Controls</t>
  </si>
  <si>
    <t>New threats have emerged that need to be addressed in policies</t>
  </si>
  <si>
    <t>An individual is able to perform all of the steps required to perform a sensitive business process. Checks are insufficient to prevent accidental amendment or destruction of data</t>
  </si>
  <si>
    <t>Data held on mobile devices is prone to loss or theft of the device, or unauthorised access</t>
  </si>
  <si>
    <t>It is not clear who does what with respect to cloud security and one party (e.g. cloud service customer) is under the impression that the other (e.g. cloud service provider) is monitoring a particular aspect</t>
  </si>
  <si>
    <t>An employee is recruited who could deliberately breach information security</t>
  </si>
  <si>
    <t>Employees do not follow security policies as they are regarded as irrelevant</t>
  </si>
  <si>
    <t xml:space="preserve">Ex-employees could breach information security after leaving e.g. making confidential information public </t>
  </si>
  <si>
    <t>The information stored on media is vulnerable to compromise when it is disposed of</t>
  </si>
  <si>
    <t>Data held on media is not adequately protected whilst in transit e.g. by the use of encryption</t>
  </si>
  <si>
    <t>A user could gain unauthorised access to information via a network that they have no reason to legitimately use</t>
  </si>
  <si>
    <t>Privileged access rights could be used by an unauthorised person to breach information security</t>
  </si>
  <si>
    <t>User passwords are known to someone other than the user to whom they relate</t>
  </si>
  <si>
    <t>A privileged utility program could be used to bypass security controls and gain unauthorised access to information</t>
  </si>
  <si>
    <t>Program source code could be destroyed or tampered with to benefit an attacker</t>
  </si>
  <si>
    <t>Cryptographic keys are often lost or compromised, potentially resulting in the loss of encrypted data</t>
  </si>
  <si>
    <t>Unauthorised people are able to bypass entry controls</t>
  </si>
  <si>
    <t>An accident, attack or natural disaster could destroy or severely affect sensitive information and its processing</t>
  </si>
  <si>
    <t>Access could be gained to secure areas via a publicly-accessible delivery area</t>
  </si>
  <si>
    <t>Someone could listen in to sensitive information by tapping a cable</t>
  </si>
  <si>
    <t>Equipment often breaks down or fails to protect information due to a lack of appropriate care</t>
  </si>
  <si>
    <t xml:space="preserve">Someone could access systems they are not authorised to using a device that has been left logged on </t>
  </si>
  <si>
    <t>Loss of data due to incorrect performance of operating procedures</t>
  </si>
  <si>
    <t>Information security may become compromised when changes are made to the organization, business processes or information processing facilities and systems</t>
  </si>
  <si>
    <t xml:space="preserve">A poorly-tested software change results in errors in a business-critical process </t>
  </si>
  <si>
    <t>Systems are  affected by malware e.g. ransomware or spyware, having a serious effect on service delivery and security</t>
  </si>
  <si>
    <t>Data is  lost and cannot be recovered from backup</t>
  </si>
  <si>
    <t>An insider with admin access views sensitive data</t>
  </si>
  <si>
    <t>A hacker exploits an undetected vulnerability and steals information</t>
  </si>
  <si>
    <t>Penetration tests disrupt a live system during peak service hours</t>
  </si>
  <si>
    <t>An external threat actor is able to gain access to the network</t>
  </si>
  <si>
    <t>An external threat actor is able to gain access to a less critical network, and then use this access to enter more business-critical networks</t>
  </si>
  <si>
    <t>A hacker is able to exploit the weaknesses in virtual networking to carry out an attack</t>
  </si>
  <si>
    <t>Information in transit to and from third parties is intercepted and compromised</t>
  </si>
  <si>
    <t>Confidential emails are intercepted and used as the basis for an attack e.g. fraudulent bank transfer</t>
  </si>
  <si>
    <t>New or changed systems are open to attack in ways that could have been predicted</t>
  </si>
  <si>
    <t>Application service transactions are used to mount an attack on the organization or its business partners</t>
  </si>
  <si>
    <t>Development environments are able to be accessed by unauthorised persons who could introduce code that makes future attacks easier</t>
  </si>
  <si>
    <t>Code developed by an outsourcing provider may contain security flaws that are not discovered by the organization</t>
  </si>
  <si>
    <t xml:space="preserve">A supplier e.g. cloud service provider, makes a change that is not expected and which significantly affects the organization's business processes </t>
  </si>
  <si>
    <t>ISO/IEC 27001 Scenario-based risk assessment and treatment tool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</si>
</sst>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809]dd\ mmmm\ yyyy;@"/>
  </numFmts>
  <fonts count="27" x14ac:knownFonts="1">
    <font>
      <sz val="11"/>
      <color theme="1"/>
      <name val="Calibri"/>
      <family val="2"/>
      <scheme val="minor"/>
    </font>
    <font>
      <b/>
      <sz val="15"/>
      <color theme="3"/>
      <name val="Calibri"/>
      <family val="2"/>
      <scheme val="minor"/>
    </font>
    <font>
      <b/>
      <sz val="13"/>
      <color theme="3"/>
      <name val="Calibri"/>
      <family val="2"/>
      <scheme val="minor"/>
    </font>
    <font>
      <b/>
      <sz val="11"/>
      <color theme="0"/>
      <name val="Calibri"/>
      <family val="2"/>
      <scheme val="minor"/>
    </font>
    <font>
      <b/>
      <sz val="18"/>
      <color theme="1"/>
      <name val="Calibri"/>
      <family val="2"/>
      <scheme val="minor"/>
    </font>
    <font>
      <b/>
      <sz val="11"/>
      <color rgb="FFFFFFFF"/>
      <name val="Calibri"/>
      <family val="2"/>
      <scheme val="minor"/>
    </font>
    <font>
      <sz val="11"/>
      <color rgb="FF444444"/>
      <name val="Calibri"/>
      <family val="2"/>
      <scheme val="minor"/>
    </font>
    <font>
      <i/>
      <sz val="11"/>
      <color rgb="FF444444"/>
      <name val="Calibri"/>
      <family val="2"/>
      <scheme val="minor"/>
    </font>
    <font>
      <b/>
      <sz val="11"/>
      <color rgb="FF444444"/>
      <name val="Calibri"/>
      <family val="2"/>
      <scheme val="minor"/>
    </font>
    <font>
      <b/>
      <sz val="12"/>
      <color theme="1"/>
      <name val="Calibri"/>
      <family val="2"/>
      <scheme val="minor"/>
    </font>
    <font>
      <sz val="12"/>
      <color theme="1"/>
      <name val="Calibri"/>
      <family val="2"/>
      <scheme val="minor"/>
    </font>
    <font>
      <b/>
      <sz val="11"/>
      <color theme="1"/>
      <name val="Calibri"/>
      <family val="2"/>
      <scheme val="minor"/>
    </font>
    <font>
      <b/>
      <sz val="16"/>
      <color theme="1"/>
      <name val="Calibri"/>
      <family val="2"/>
      <scheme val="minor"/>
    </font>
    <font>
      <sz val="11"/>
      <color theme="0"/>
      <name val="Calibri"/>
      <family val="2"/>
      <scheme val="minor"/>
    </font>
    <font>
      <b/>
      <sz val="12"/>
      <color rgb="FF444444"/>
      <name val="Calibri"/>
      <family val="2"/>
      <scheme val="minor"/>
    </font>
    <font>
      <b/>
      <sz val="14"/>
      <color theme="1"/>
      <name val="Calibri"/>
      <family val="2"/>
      <scheme val="minor"/>
    </font>
    <font>
      <b/>
      <sz val="9"/>
      <color indexed="81"/>
      <name val="Tahoma"/>
      <family val="2"/>
    </font>
    <font>
      <b/>
      <sz val="18"/>
      <color theme="2" tint="-0.499984740745262"/>
      <name val="Calibri"/>
      <family val="2"/>
      <scheme val="minor"/>
    </font>
    <font>
      <b/>
      <sz val="16"/>
      <color theme="2" tint="-0.499984740745262"/>
      <name val="Calibri"/>
      <family val="2"/>
      <scheme val="minor"/>
    </font>
    <font>
      <b/>
      <sz val="14"/>
      <color theme="0"/>
      <name val="Calibri"/>
      <family val="2"/>
      <scheme val="minor"/>
    </font>
    <font>
      <sz val="10"/>
      <color rgb="FF444444"/>
      <name val="Calibri"/>
      <family val="2"/>
      <scheme val="minor"/>
    </font>
    <font>
      <b/>
      <sz val="9"/>
      <color theme="1"/>
      <name val="Calibri"/>
      <family val="2"/>
      <scheme val="minor"/>
    </font>
    <font>
      <b/>
      <u/>
      <sz val="9"/>
      <color rgb="FF444444"/>
      <name val="Calibri"/>
      <family val="2"/>
      <scheme val="minor"/>
    </font>
    <font>
      <sz val="9"/>
      <color rgb="FF444444"/>
      <name val="Calibri"/>
      <family val="2"/>
      <scheme val="minor"/>
    </font>
    <font>
      <b/>
      <sz val="9"/>
      <color rgb="FF444444"/>
      <name val="Calibri"/>
      <family val="2"/>
      <scheme val="minor"/>
    </font>
    <font>
      <b/>
      <sz val="9"/>
      <color theme="0"/>
      <name val="Calibri"/>
      <family val="2"/>
      <scheme val="minor"/>
    </font>
    <font>
      <b/>
      <sz val="14"/>
      <color rgb="FF00000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theme="2"/>
        <bgColor indexed="64"/>
      </patternFill>
    </fill>
    <fill>
      <patternFill patternType="solid">
        <fgColor theme="2" tint="-0.499984740745262"/>
        <bgColor indexed="64"/>
      </patternFill>
    </fill>
    <fill>
      <patternFill patternType="solid">
        <fgColor theme="2" tint="-0.749992370372631"/>
        <bgColor indexed="64"/>
      </patternFill>
    </fill>
    <fill>
      <patternFill patternType="solid">
        <fgColor theme="0" tint="-4.9989318521683403E-2"/>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style="medium">
        <color theme="0"/>
      </right>
      <top/>
      <bottom/>
      <diagonal/>
    </border>
    <border>
      <left style="medium">
        <color theme="0"/>
      </left>
      <right/>
      <top/>
      <bottom/>
      <diagonal/>
    </border>
    <border>
      <left style="thin">
        <color theme="2" tint="-0.499984740745262"/>
      </left>
      <right style="thin">
        <color theme="2" tint="-0.499984740745262"/>
      </right>
      <top style="thin">
        <color theme="2" tint="-0.499984740745262"/>
      </top>
      <bottom style="thin">
        <color theme="2" tint="-0.499984740745262"/>
      </bottom>
      <diagonal/>
    </border>
    <border>
      <left/>
      <right style="thin">
        <color theme="2" tint="-0.499984740745262"/>
      </right>
      <top/>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diagonal/>
    </border>
    <border>
      <left style="thin">
        <color theme="2" tint="-0.499984740745262"/>
      </left>
      <right style="thin">
        <color theme="2" tint="-0.499984740745262"/>
      </right>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right/>
      <top/>
      <bottom style="thick">
        <color theme="2" tint="-0.499984740745262"/>
      </bottom>
      <diagonal/>
    </border>
    <border>
      <left/>
      <right/>
      <top/>
      <bottom style="thick">
        <color rgb="FF009BA4"/>
      </bottom>
      <diagonal/>
    </border>
    <border>
      <left/>
      <right/>
      <top/>
      <bottom style="thick">
        <color theme="0"/>
      </bottom>
      <diagonal/>
    </border>
    <border>
      <left style="thick">
        <color theme="0"/>
      </left>
      <right style="thick">
        <color theme="0"/>
      </right>
      <top style="thick">
        <color theme="0"/>
      </top>
      <bottom style="thick">
        <color theme="0"/>
      </bottom>
      <diagonal/>
    </border>
    <border>
      <left/>
      <right style="thick">
        <color theme="0"/>
      </right>
      <top/>
      <bottom style="thick">
        <color theme="0"/>
      </bottom>
      <diagonal/>
    </border>
    <border>
      <left style="thick">
        <color theme="0"/>
      </left>
      <right style="thick">
        <color theme="0"/>
      </right>
      <top/>
      <bottom style="thick">
        <color theme="0"/>
      </bottom>
      <diagonal/>
    </border>
    <border>
      <left/>
      <right style="thick">
        <color theme="0"/>
      </right>
      <top style="thick">
        <color theme="0"/>
      </top>
      <bottom style="thick">
        <color theme="0"/>
      </bottom>
      <diagonal/>
    </border>
    <border>
      <left/>
      <right style="thick">
        <color theme="0"/>
      </right>
      <top style="thick">
        <color theme="0"/>
      </top>
      <bottom/>
      <diagonal/>
    </border>
    <border>
      <left style="thick">
        <color theme="0"/>
      </left>
      <right style="thick">
        <color theme="0"/>
      </right>
      <top style="thick">
        <color theme="0"/>
      </top>
      <bottom/>
      <diagonal/>
    </border>
    <border>
      <left style="thick">
        <color theme="0"/>
      </left>
      <right/>
      <top style="thick">
        <color theme="0"/>
      </top>
      <bottom/>
      <diagonal/>
    </border>
    <border>
      <left/>
      <right/>
      <top/>
      <bottom style="medium">
        <color theme="2" tint="-0.499984740745262"/>
      </bottom>
      <diagonal/>
    </border>
  </borders>
  <cellStyleXfs count="3">
    <xf numFmtId="0" fontId="0" fillId="0" borderId="0"/>
    <xf numFmtId="0" fontId="1" fillId="0" borderId="1" applyNumberFormat="0" applyFill="0" applyAlignment="0" applyProtection="0"/>
    <xf numFmtId="0" fontId="2" fillId="0" borderId="2" applyNumberFormat="0" applyFill="0" applyAlignment="0" applyProtection="0"/>
  </cellStyleXfs>
  <cellXfs count="105">
    <xf numFmtId="0" fontId="0" fillId="0" borderId="0" xfId="0"/>
    <xf numFmtId="0" fontId="6" fillId="0" borderId="0" xfId="0" applyFont="1"/>
    <xf numFmtId="0" fontId="6" fillId="0" borderId="0" xfId="0" applyFont="1" applyAlignment="1">
      <alignment vertical="top" wrapText="1"/>
    </xf>
    <xf numFmtId="0" fontId="6" fillId="0" borderId="0" xfId="0" applyFont="1" applyAlignment="1">
      <alignment vertical="top"/>
    </xf>
    <xf numFmtId="0" fontId="6" fillId="0" borderId="0" xfId="0" applyFont="1" applyAlignment="1">
      <alignment horizontal="right" vertical="top"/>
    </xf>
    <xf numFmtId="0" fontId="6" fillId="0" borderId="0" xfId="0" applyFont="1" applyAlignment="1">
      <alignment horizontal="left" vertical="top"/>
    </xf>
    <xf numFmtId="0" fontId="7" fillId="0" borderId="0" xfId="0" applyFont="1" applyAlignment="1">
      <alignment vertical="top"/>
    </xf>
    <xf numFmtId="0" fontId="0" fillId="0" borderId="0" xfId="0" applyAlignment="1">
      <alignment horizontal="left"/>
    </xf>
    <xf numFmtId="0" fontId="8" fillId="0" borderId="0" xfId="0" applyFont="1" applyAlignment="1">
      <alignment vertical="top" wrapText="1"/>
    </xf>
    <xf numFmtId="0" fontId="0" fillId="0" borderId="0" xfId="0" applyAlignment="1">
      <alignment vertical="top" wrapText="1"/>
    </xf>
    <xf numFmtId="0" fontId="9" fillId="0" borderId="0" xfId="0" applyFont="1"/>
    <xf numFmtId="0" fontId="10" fillId="0" borderId="0" xfId="0" applyFont="1"/>
    <xf numFmtId="0" fontId="12" fillId="0" borderId="0" xfId="0" applyFont="1" applyAlignment="1">
      <alignment vertical="top"/>
    </xf>
    <xf numFmtId="0" fontId="0" fillId="0" borderId="0" xfId="0" applyAlignment="1">
      <alignment vertical="top"/>
    </xf>
    <xf numFmtId="0" fontId="0" fillId="0" borderId="0" xfId="0" applyAlignment="1">
      <alignment horizontal="left" vertical="top" wrapText="1"/>
    </xf>
    <xf numFmtId="0" fontId="6" fillId="0" borderId="0" xfId="0" applyFont="1" applyAlignment="1">
      <alignment horizontal="left" vertical="top" wrapText="1"/>
    </xf>
    <xf numFmtId="0" fontId="0" fillId="0" borderId="0" xfId="0" applyAlignment="1" applyProtection="1">
      <alignment horizontal="left" vertical="top" wrapText="1"/>
      <protection locked="0"/>
    </xf>
    <xf numFmtId="0" fontId="0" fillId="0" borderId="0" xfId="0" applyAlignment="1">
      <alignment horizontal="centerContinuous" vertical="top"/>
    </xf>
    <xf numFmtId="0" fontId="4" fillId="0" borderId="0" xfId="0" applyFont="1" applyAlignment="1">
      <alignment horizontal="left" vertical="top"/>
    </xf>
    <xf numFmtId="0" fontId="0" fillId="0" borderId="0" xfId="0" applyAlignment="1">
      <alignment horizontal="left" vertical="top"/>
    </xf>
    <xf numFmtId="0" fontId="3" fillId="0" borderId="0" xfId="0" applyFont="1" applyAlignment="1">
      <alignment vertical="top"/>
    </xf>
    <xf numFmtId="0" fontId="6" fillId="0" borderId="0" xfId="0" applyFont="1" applyAlignment="1" applyProtection="1">
      <alignment horizontal="right" vertical="top"/>
      <protection locked="0"/>
    </xf>
    <xf numFmtId="0" fontId="6" fillId="0" borderId="0" xfId="0" applyFont="1" applyAlignment="1" applyProtection="1">
      <alignment vertical="top"/>
      <protection locked="0"/>
    </xf>
    <xf numFmtId="0" fontId="12" fillId="0" borderId="0" xfId="0" applyFont="1" applyAlignment="1" applyProtection="1">
      <alignment vertical="top"/>
      <protection locked="0"/>
    </xf>
    <xf numFmtId="0" fontId="0" fillId="0" borderId="0" xfId="0" applyAlignment="1" applyProtection="1">
      <alignment vertical="top"/>
      <protection locked="0"/>
    </xf>
    <xf numFmtId="0" fontId="14" fillId="0" borderId="0" xfId="0" applyFont="1" applyAlignment="1">
      <alignment vertical="top"/>
    </xf>
    <xf numFmtId="0" fontId="15" fillId="0" borderId="0" xfId="0" applyFont="1"/>
    <xf numFmtId="0" fontId="0" fillId="0" borderId="0" xfId="0" quotePrefix="1" applyAlignment="1">
      <alignment horizontal="center" vertical="top"/>
    </xf>
    <xf numFmtId="0" fontId="0" fillId="0" borderId="0" xfId="0" applyAlignment="1">
      <alignment horizontal="center" vertical="top"/>
    </xf>
    <xf numFmtId="0" fontId="13" fillId="0" borderId="0" xfId="0" applyFont="1" applyAlignment="1">
      <alignment horizontal="right"/>
    </xf>
    <xf numFmtId="0" fontId="11" fillId="0" borderId="0" xfId="0" applyFont="1"/>
    <xf numFmtId="0" fontId="11" fillId="0" borderId="0" xfId="0" applyFont="1" applyAlignment="1">
      <alignment horizontal="left"/>
    </xf>
    <xf numFmtId="0" fontId="12" fillId="0" borderId="0" xfId="0" applyFont="1"/>
    <xf numFmtId="17" fontId="0" fillId="0" borderId="0" xfId="0" applyNumberFormat="1" applyAlignment="1" applyProtection="1">
      <alignment horizontal="left" vertical="top" wrapText="1"/>
      <protection locked="0"/>
    </xf>
    <xf numFmtId="0" fontId="0" fillId="0" borderId="6" xfId="0" applyBorder="1" applyAlignment="1" applyProtection="1">
      <alignment vertical="top" wrapText="1"/>
      <protection locked="0"/>
    </xf>
    <xf numFmtId="0" fontId="0" fillId="0" borderId="7" xfId="0" applyBorder="1" applyAlignment="1" applyProtection="1">
      <alignment vertical="top" wrapText="1"/>
      <protection locked="0"/>
    </xf>
    <xf numFmtId="0" fontId="11" fillId="6" borderId="8" xfId="0" applyFont="1" applyFill="1" applyBorder="1" applyAlignment="1">
      <alignment vertical="top" wrapText="1"/>
    </xf>
    <xf numFmtId="0" fontId="11" fillId="6" borderId="9" xfId="0" applyFont="1" applyFill="1" applyBorder="1" applyAlignment="1">
      <alignment vertical="top" wrapText="1"/>
    </xf>
    <xf numFmtId="0" fontId="11" fillId="6" borderId="5" xfId="0" applyFont="1" applyFill="1" applyBorder="1" applyAlignment="1">
      <alignment vertical="top" wrapText="1"/>
    </xf>
    <xf numFmtId="0" fontId="0" fillId="0" borderId="10" xfId="0" applyBorder="1" applyAlignment="1" applyProtection="1">
      <alignment vertical="top" wrapText="1"/>
      <protection locked="0"/>
    </xf>
    <xf numFmtId="0" fontId="0" fillId="0" borderId="5" xfId="0" applyBorder="1" applyAlignment="1" applyProtection="1">
      <alignment vertical="top" wrapText="1"/>
      <protection locked="0"/>
    </xf>
    <xf numFmtId="164" fontId="0" fillId="0" borderId="10" xfId="0" applyNumberFormat="1" applyBorder="1" applyAlignment="1" applyProtection="1">
      <alignment vertical="top" wrapText="1"/>
      <protection locked="0"/>
    </xf>
    <xf numFmtId="0" fontId="15" fillId="0" borderId="0" xfId="0" applyFont="1" applyAlignment="1">
      <alignment vertical="top"/>
    </xf>
    <xf numFmtId="0" fontId="3" fillId="7" borderId="0" xfId="0" applyFont="1" applyFill="1" applyAlignment="1">
      <alignment vertical="center" wrapText="1"/>
    </xf>
    <xf numFmtId="0" fontId="9" fillId="0" borderId="0" xfId="0" applyFont="1" applyAlignment="1">
      <alignment vertical="top" wrapText="1"/>
    </xf>
    <xf numFmtId="0" fontId="15" fillId="0" borderId="0" xfId="0" applyFont="1" applyAlignment="1">
      <alignment horizontal="left" vertical="top"/>
    </xf>
    <xf numFmtId="0" fontId="15" fillId="0" borderId="0" xfId="0" applyFont="1" applyAlignment="1">
      <alignment vertical="top" wrapText="1"/>
    </xf>
    <xf numFmtId="0" fontId="15" fillId="0" borderId="0" xfId="0" applyFont="1" applyAlignment="1">
      <alignment horizontal="left"/>
    </xf>
    <xf numFmtId="0" fontId="6" fillId="0" borderId="11" xfId="0" applyFont="1" applyBorder="1" applyAlignment="1">
      <alignment vertical="top"/>
    </xf>
    <xf numFmtId="0" fontId="3" fillId="7" borderId="0" xfId="0" applyFont="1" applyFill="1" applyAlignment="1" applyProtection="1">
      <alignment vertical="center" wrapText="1"/>
      <protection locked="0"/>
    </xf>
    <xf numFmtId="0" fontId="3" fillId="7" borderId="0" xfId="0" applyFont="1" applyFill="1" applyAlignment="1" applyProtection="1">
      <alignment vertical="center"/>
      <protection locked="0"/>
    </xf>
    <xf numFmtId="0" fontId="3" fillId="7" borderId="0" xfId="0" applyFont="1" applyFill="1" applyAlignment="1">
      <alignment vertical="center"/>
    </xf>
    <xf numFmtId="0" fontId="0" fillId="0" borderId="12" xfId="0" applyBorder="1" applyAlignment="1">
      <alignment vertical="top"/>
    </xf>
    <xf numFmtId="0" fontId="3" fillId="8" borderId="0" xfId="0" applyFont="1" applyFill="1" applyAlignment="1">
      <alignment horizontal="left" vertical="center"/>
    </xf>
    <xf numFmtId="0" fontId="3" fillId="8" borderId="3" xfId="0" applyFont="1" applyFill="1" applyBorder="1" applyAlignment="1">
      <alignment horizontal="left" vertical="center"/>
    </xf>
    <xf numFmtId="0" fontId="6" fillId="0" borderId="12" xfId="0" applyFont="1" applyBorder="1" applyAlignment="1">
      <alignment vertical="top"/>
    </xf>
    <xf numFmtId="0" fontId="0" fillId="0" borderId="11" xfId="0" applyBorder="1" applyAlignment="1" applyProtection="1">
      <alignment vertical="top"/>
      <protection locked="0"/>
    </xf>
    <xf numFmtId="0" fontId="13" fillId="7" borderId="0" xfId="0" applyFont="1" applyFill="1"/>
    <xf numFmtId="0" fontId="13" fillId="0" borderId="0" xfId="0" applyFont="1"/>
    <xf numFmtId="0" fontId="19" fillId="7" borderId="0" xfId="0" applyFont="1" applyFill="1"/>
    <xf numFmtId="0" fontId="0" fillId="7" borderId="0" xfId="0" applyFill="1"/>
    <xf numFmtId="0" fontId="6" fillId="7" borderId="0" xfId="0" applyFont="1" applyFill="1" applyAlignment="1">
      <alignment vertical="top"/>
    </xf>
    <xf numFmtId="0" fontId="20" fillId="0" borderId="0" xfId="0" applyFont="1" applyAlignment="1">
      <alignment horizontal="center" vertical="top" textRotation="90"/>
    </xf>
    <xf numFmtId="0" fontId="19" fillId="7" borderId="0" xfId="0" applyFont="1" applyFill="1" applyAlignment="1">
      <alignment vertical="top"/>
    </xf>
    <xf numFmtId="0" fontId="19" fillId="0" borderId="0" xfId="0" applyFont="1" applyAlignment="1">
      <alignment vertical="top"/>
    </xf>
    <xf numFmtId="0" fontId="22" fillId="0" borderId="0" xfId="0" applyFont="1" applyAlignment="1">
      <alignment horizontal="left" vertical="center"/>
    </xf>
    <xf numFmtId="0" fontId="23" fillId="9" borderId="14" xfId="0" applyFont="1" applyFill="1" applyBorder="1" applyAlignment="1">
      <alignment horizontal="left" vertical="top" indent="1"/>
    </xf>
    <xf numFmtId="0" fontId="21" fillId="9" borderId="14" xfId="0" applyFont="1" applyFill="1" applyBorder="1" applyAlignment="1">
      <alignment horizontal="left" vertical="center" wrapText="1" indent="1"/>
    </xf>
    <xf numFmtId="0" fontId="0" fillId="9" borderId="15" xfId="0" applyFill="1" applyBorder="1" applyAlignment="1">
      <alignment horizontal="center" vertical="center"/>
    </xf>
    <xf numFmtId="0" fontId="0" fillId="3" borderId="16" xfId="0" applyFill="1" applyBorder="1" applyAlignment="1">
      <alignment horizontal="center" vertical="center"/>
    </xf>
    <xf numFmtId="0" fontId="0" fillId="4" borderId="16" xfId="0" applyFill="1" applyBorder="1" applyAlignment="1">
      <alignment horizontal="center" vertical="center"/>
    </xf>
    <xf numFmtId="0" fontId="0" fillId="0" borderId="0" xfId="0" applyAlignment="1">
      <alignment horizontal="center" vertical="center"/>
    </xf>
    <xf numFmtId="0" fontId="24" fillId="3" borderId="14" xfId="0" applyFont="1" applyFill="1" applyBorder="1" applyAlignment="1">
      <alignment horizontal="left" vertical="center" wrapText="1" indent="1"/>
    </xf>
    <xf numFmtId="0" fontId="25" fillId="4" borderId="14" xfId="0" applyFont="1" applyFill="1" applyBorder="1" applyAlignment="1">
      <alignment horizontal="left" vertical="center" wrapText="1" indent="1"/>
    </xf>
    <xf numFmtId="0" fontId="0" fillId="9" borderId="17" xfId="0" applyFill="1" applyBorder="1" applyAlignment="1">
      <alignment horizontal="center" vertical="center"/>
    </xf>
    <xf numFmtId="0" fontId="0" fillId="5" borderId="16" xfId="0" applyFill="1" applyBorder="1" applyAlignment="1">
      <alignment horizontal="center" vertical="center"/>
    </xf>
    <xf numFmtId="0" fontId="24" fillId="5" borderId="14" xfId="0" applyFont="1" applyFill="1" applyBorder="1" applyAlignment="1">
      <alignment horizontal="left" vertical="center" wrapText="1" indent="1"/>
    </xf>
    <xf numFmtId="0" fontId="0" fillId="9" borderId="18" xfId="0" applyFill="1" applyBorder="1"/>
    <xf numFmtId="0" fontId="0" fillId="9" borderId="19" xfId="0" applyFill="1" applyBorder="1" applyAlignment="1">
      <alignment horizontal="center" vertical="center"/>
    </xf>
    <xf numFmtId="0" fontId="0" fillId="9" borderId="20" xfId="0" applyFill="1" applyBorder="1" applyAlignment="1">
      <alignment horizontal="center" vertical="center"/>
    </xf>
    <xf numFmtId="0" fontId="11" fillId="0" borderId="0" xfId="0" applyFont="1" applyAlignment="1">
      <alignment horizontal="center" vertical="center"/>
    </xf>
    <xf numFmtId="0" fontId="11" fillId="0" borderId="0" xfId="0" applyFont="1" applyAlignment="1">
      <alignment horizontal="left" vertical="top"/>
    </xf>
    <xf numFmtId="0" fontId="0" fillId="0" borderId="0" xfId="0" applyAlignment="1">
      <alignment horizontal="right"/>
    </xf>
    <xf numFmtId="0" fontId="3" fillId="7" borderId="0" xfId="0" applyFont="1" applyFill="1"/>
    <xf numFmtId="0" fontId="26" fillId="0" borderId="0" xfId="0" applyFont="1" applyAlignment="1">
      <alignment horizontal="left" vertical="top" readingOrder="1"/>
    </xf>
    <xf numFmtId="3" fontId="0" fillId="0" borderId="0" xfId="0" applyNumberFormat="1"/>
    <xf numFmtId="43" fontId="0" fillId="0" borderId="0" xfId="0" applyNumberFormat="1" applyAlignment="1" applyProtection="1">
      <alignment horizontal="left" vertical="top" wrapText="1"/>
      <protection locked="0"/>
    </xf>
    <xf numFmtId="0" fontId="5" fillId="7" borderId="0" xfId="0" applyFont="1" applyFill="1" applyAlignment="1">
      <alignment vertical="top" wrapText="1"/>
    </xf>
    <xf numFmtId="0" fontId="0" fillId="8" borderId="0" xfId="0" applyFill="1" applyAlignment="1">
      <alignment vertical="top"/>
    </xf>
    <xf numFmtId="0" fontId="0" fillId="0" borderId="21" xfId="0" applyBorder="1" applyAlignment="1">
      <alignment vertical="top" wrapText="1"/>
    </xf>
    <xf numFmtId="0" fontId="0" fillId="0" borderId="0" xfId="0" applyAlignment="1" applyProtection="1">
      <alignment vertical="top" wrapText="1"/>
      <protection locked="0"/>
    </xf>
    <xf numFmtId="0" fontId="6" fillId="0" borderId="0" xfId="0" applyFont="1" applyAlignment="1" applyProtection="1">
      <alignment horizontal="center" vertical="top"/>
      <protection locked="0"/>
    </xf>
    <xf numFmtId="0" fontId="0" fillId="0" borderId="0" xfId="0" applyAlignment="1" applyProtection="1">
      <alignment horizontal="center" vertical="top"/>
      <protection locked="0"/>
    </xf>
    <xf numFmtId="0" fontId="3" fillId="7" borderId="0" xfId="0" applyFont="1" applyFill="1" applyAlignment="1" applyProtection="1">
      <alignment horizontal="center" vertical="center" wrapText="1"/>
      <protection locked="0"/>
    </xf>
    <xf numFmtId="0" fontId="13" fillId="7" borderId="0" xfId="0" applyFont="1" applyFill="1" applyAlignment="1">
      <alignment horizontal="left"/>
    </xf>
    <xf numFmtId="0" fontId="13" fillId="7" borderId="0" xfId="0" applyFont="1" applyFill="1" applyAlignment="1">
      <alignment horizontal="right"/>
    </xf>
    <xf numFmtId="0" fontId="13" fillId="7" borderId="0" xfId="0" applyFont="1" applyFill="1" applyAlignment="1">
      <alignment wrapText="1"/>
    </xf>
    <xf numFmtId="0" fontId="3" fillId="8" borderId="0" xfId="0" applyFont="1" applyFill="1" applyAlignment="1">
      <alignment horizontal="left" vertical="center"/>
    </xf>
    <xf numFmtId="0" fontId="3" fillId="8" borderId="3" xfId="0" applyFont="1" applyFill="1" applyBorder="1" applyAlignment="1">
      <alignment horizontal="left" vertical="center"/>
    </xf>
    <xf numFmtId="0" fontId="3" fillId="8" borderId="4" xfId="0" applyFont="1" applyFill="1" applyBorder="1" applyAlignment="1">
      <alignment horizontal="left" vertical="center"/>
    </xf>
    <xf numFmtId="0" fontId="0" fillId="2" borderId="0" xfId="0" applyFill="1" applyAlignment="1">
      <alignment horizontal="left" vertical="top" wrapText="1"/>
    </xf>
    <xf numFmtId="0" fontId="11" fillId="0" borderId="0" xfId="0" applyFont="1" applyAlignment="1">
      <alignment horizontal="center" vertical="center"/>
    </xf>
    <xf numFmtId="0" fontId="21" fillId="0" borderId="0" xfId="0" applyFont="1" applyAlignment="1">
      <alignment horizontal="center" vertical="center" textRotation="90"/>
    </xf>
    <xf numFmtId="0" fontId="22" fillId="0" borderId="13" xfId="0" applyFont="1" applyBorder="1" applyAlignment="1">
      <alignment horizontal="center" vertical="center"/>
    </xf>
    <xf numFmtId="0" fontId="11" fillId="0" borderId="0" xfId="0" applyFont="1" applyAlignment="1">
      <alignment horizontal="center" vertical="center" textRotation="90"/>
    </xf>
  </cellXfs>
  <cellStyles count="3">
    <cellStyle name="Heading 1" xfId="1" builtinId="16" customBuiltin="1"/>
    <cellStyle name="Heading 2" xfId="2" builtinId="17" customBuiltin="1"/>
    <cellStyle name="Normal" xfId="0" builtinId="0"/>
  </cellStyles>
  <dxfs count="170">
    <dxf>
      <numFmt numFmtId="0" formatCode="General"/>
    </dxf>
    <dxf>
      <numFmt numFmtId="0" formatCode="General"/>
    </dxf>
    <dxf>
      <fill>
        <patternFill patternType="solid">
          <fgColor indexed="64"/>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ill>
        <patternFill patternType="solid">
          <bgColor theme="3"/>
        </patternFill>
      </fill>
    </dxf>
    <dxf>
      <alignment horizontal="righ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3"/>
        </patternFill>
      </fill>
    </dxf>
    <dxf>
      <fill>
        <patternFill>
          <bgColor theme="3"/>
        </patternFill>
      </fill>
    </dxf>
    <dxf>
      <font>
        <color theme="0"/>
      </font>
    </dxf>
    <dxf>
      <fill>
        <patternFill patternType="solid">
          <bgColor theme="7"/>
        </patternFill>
      </fill>
    </dxf>
    <dxf>
      <font>
        <color theme="0"/>
      </font>
    </dxf>
    <dxf>
      <font>
        <color theme="0"/>
      </font>
    </dxf>
    <dxf>
      <fill>
        <patternFill patternType="solid">
          <bgColor theme="7"/>
        </patternFill>
      </fill>
    </dxf>
    <dxf>
      <fill>
        <patternFill patternType="solid">
          <bgColor theme="7"/>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ill>
        <patternFill patternType="solid">
          <bgColor theme="3"/>
        </patternFill>
      </fill>
    </dxf>
    <dxf>
      <fill>
        <patternFill patternType="solid">
          <bgColor theme="3"/>
        </patternFill>
      </fill>
    </dxf>
    <dxf>
      <font>
        <color theme="0"/>
      </font>
    </dxf>
    <dxf>
      <font>
        <color theme="0"/>
      </font>
    </dxf>
    <dxf>
      <fill>
        <patternFill patternType="solid">
          <bgColor theme="3"/>
        </patternFill>
      </fill>
    </dxf>
    <dxf>
      <fill>
        <patternFill patternType="solid">
          <bgColor theme="3"/>
        </patternFill>
      </fill>
    </dxf>
    <dxf>
      <alignment wrapText="1"/>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ill>
        <patternFill>
          <bgColor theme="2" tint="-0.499984740745262"/>
        </patternFill>
      </fill>
    </dxf>
    <dxf>
      <font>
        <color theme="0"/>
      </font>
    </dxf>
    <dxf>
      <font>
        <color theme="0"/>
      </font>
    </dxf>
    <dxf>
      <font>
        <color theme="0"/>
      </font>
    </dxf>
    <dxf>
      <font>
        <color theme="0"/>
      </font>
    </dxf>
    <dxf>
      <font>
        <color theme="0"/>
      </font>
    </dxf>
    <dxf>
      <font>
        <color theme="0"/>
      </font>
    </dxf>
    <dxf>
      <font>
        <color theme="0"/>
      </font>
    </dxf>
    <dxf>
      <font>
        <color theme="0"/>
      </font>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ill>
        <patternFill patternType="solid">
          <bgColor theme="3"/>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rgb="FF444444"/>
        <name val="Calibri"/>
        <family val="2"/>
        <scheme val="minor"/>
      </font>
    </dxf>
    <dxf>
      <font>
        <b val="0"/>
        <i val="0"/>
        <strike val="0"/>
        <condense val="0"/>
        <extend val="0"/>
        <outline val="0"/>
        <shadow val="0"/>
        <u val="none"/>
        <vertAlign val="baseline"/>
        <sz val="11"/>
        <color theme="0"/>
        <name val="Calibri"/>
        <family val="2"/>
        <scheme val="minor"/>
      </font>
      <fill>
        <patternFill patternType="solid">
          <fgColor indexed="64"/>
          <bgColor theme="2" tint="-0.499984740745262"/>
        </patternFill>
      </fill>
    </dxf>
    <dxf>
      <font>
        <strike val="0"/>
        <outline val="0"/>
        <shadow val="0"/>
        <u val="none"/>
        <vertAlign val="baseline"/>
        <sz val="11"/>
        <color theme="0"/>
        <name val="Calibri"/>
        <family val="2"/>
        <scheme val="minor"/>
      </font>
      <fill>
        <patternFill patternType="solid">
          <fgColor indexed="64"/>
          <bgColor theme="2" tint="-0.499984740745262"/>
        </patternFill>
      </fill>
    </dxf>
    <dxf>
      <alignment horizontal="left" vertical="bottom" textRotation="0" wrapText="0" indent="0" justifyLastLine="0" shrinkToFit="0" readingOrder="0"/>
    </dxf>
    <dxf>
      <alignment horizontal="left" vertical="bottom" textRotation="0" wrapText="0" indent="0" justifyLastLine="0" shrinkToFit="0" readingOrder="0"/>
    </dxf>
    <dxf>
      <font>
        <strike val="0"/>
        <outline val="0"/>
        <shadow val="0"/>
        <u val="none"/>
        <vertAlign val="baseline"/>
        <sz val="11"/>
        <color theme="0"/>
        <name val="Calibri"/>
        <family val="2"/>
        <scheme val="minor"/>
      </font>
      <fill>
        <patternFill patternType="solid">
          <fgColor indexed="64"/>
          <bgColor theme="2" tint="-0.499984740745262"/>
        </patternFill>
      </fill>
      <alignment horizontal="left" vertical="bottom" textRotation="0" wrapText="0" indent="0" justifyLastLine="0" shrinkToFit="0" readingOrder="0"/>
    </dxf>
    <dxf>
      <font>
        <color theme="0"/>
      </font>
    </dxf>
    <dxf>
      <font>
        <color theme="0"/>
      </font>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3" formatCode="#,##0"/>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patternType="solid">
          <bgColor theme="2" tint="-0.499984740745262"/>
        </patternFill>
      </fill>
    </dxf>
    <dxf>
      <fill>
        <patternFill patternType="solid">
          <bgColor theme="2" tint="-0.499984740745262"/>
        </patternFill>
      </fill>
    </dxf>
    <dxf>
      <font>
        <color theme="0"/>
      </font>
    </dxf>
    <dxf>
      <font>
        <color theme="0"/>
      </font>
    </dxf>
    <dxf>
      <font>
        <color theme="0"/>
      </font>
    </dxf>
    <dxf>
      <fill>
        <patternFill patternType="solid">
          <bgColor theme="2" tint="-0.499984740745262"/>
        </patternFill>
      </fill>
    </dxf>
    <dxf>
      <fill>
        <patternFill patternType="solid">
          <bgColor theme="2" tint="-0.499984740745262"/>
        </patternFill>
      </fill>
    </dxf>
    <dxf>
      <fill>
        <patternFill patternType="solid">
          <bgColor theme="2" tint="-0.499984740745262"/>
        </patternFill>
      </fill>
    </dxf>
    <dxf>
      <numFmt numFmtId="0" formatCode="General"/>
    </dxf>
    <dxf>
      <font>
        <b/>
        <strike val="0"/>
        <outline val="0"/>
        <shadow val="0"/>
        <u val="none"/>
        <vertAlign val="baseline"/>
        <sz val="11"/>
        <color theme="0"/>
        <name val="Calibri"/>
        <family val="2"/>
        <scheme val="minor"/>
      </font>
      <fill>
        <patternFill patternType="solid">
          <fgColor indexed="64"/>
          <bgColor theme="2" tint="-0.499984740745262"/>
        </patternFill>
      </fill>
    </dxf>
    <dxf>
      <font>
        <color theme="0"/>
      </font>
    </dxf>
    <dxf>
      <font>
        <color theme="0"/>
      </font>
    </dxf>
    <dxf>
      <fill>
        <patternFill>
          <bgColor theme="2" tint="-0.499984740745262"/>
        </patternFill>
      </fill>
    </dxf>
    <dxf>
      <fill>
        <patternFill>
          <bgColor theme="2" tint="-0.499984740745262"/>
        </patternFill>
      </fill>
    </dxf>
    <dxf>
      <fill>
        <patternFill patternType="solid">
          <bgColor rgb="FFFFFF00"/>
        </patternFill>
      </fill>
    </dxf>
    <dxf>
      <fill>
        <patternFill patternType="solid">
          <bgColor rgb="FFFFFF00"/>
        </patternFill>
      </fill>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35" formatCode="_-* #,##0.00_-;\-* #,##0.00_-;_-* &quot;-&quot;??_-;_-@_-"/>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numFmt numFmtId="0" formatCode="General"/>
      <fill>
        <patternFill patternType="none">
          <fgColor indexed="64"/>
          <bgColor indexed="65"/>
        </patternFill>
      </fill>
      <alignment horizontal="left" vertical="top" textRotation="0" wrapText="1" indent="0" justifyLastLine="0" shrinkToFit="0" readingOrder="0"/>
      <protection locked="1" hidden="0"/>
    </dxf>
    <dxf>
      <numFmt numFmtId="0" formatCode="General"/>
      <fill>
        <patternFill patternType="none">
          <fgColor indexed="64"/>
          <bgColor indexed="65"/>
        </patternFill>
      </fill>
      <alignment horizontal="left" vertical="top" textRotation="0" wrapText="1" indent="0" justifyLastLine="0" shrinkToFit="0" readingOrder="0"/>
      <protection locked="1"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numFmt numFmtId="0" formatCode="General"/>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fill>
        <patternFill patternType="none">
          <fgColor indexed="64"/>
          <bgColor indexed="65"/>
        </patternFill>
      </fill>
      <alignment horizontal="left" vertical="top" textRotation="0" wrapText="1" indent="0" justifyLastLine="0" shrinkToFit="0" readingOrder="0"/>
      <protection locked="0" hidden="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top" textRotation="0" wrapText="1" indent="0" justifyLastLine="0" shrinkToFit="0" readingOrder="0"/>
      <protection locked="0" hidden="0"/>
    </dxf>
    <dxf>
      <alignment horizontal="left" vertical="top" textRotation="0" wrapText="1" indent="0" justifyLastLine="0" shrinkToFit="0" readingOrder="0"/>
      <protection locked="1" hidden="0"/>
    </dxf>
    <dxf>
      <alignment horizontal="left" vertical="top" textRotation="0" wrapText="1" indent="0" justifyLastLine="0" shrinkToFit="0" readingOrder="0"/>
      <protection locked="1" hidden="0"/>
    </dxf>
    <dxf>
      <fill>
        <patternFill>
          <bgColor theme="1" tint="0.39994506668294322"/>
        </patternFill>
      </fill>
    </dxf>
    <dxf>
      <font>
        <b/>
        <i val="0"/>
        <color rgb="FF444444"/>
      </font>
      <fill>
        <patternFill>
          <bgColor rgb="FF92D050"/>
        </patternFill>
      </fill>
    </dxf>
    <dxf>
      <font>
        <b/>
        <i val="0"/>
        <color rgb="FF444444"/>
      </font>
      <fill>
        <patternFill>
          <bgColor rgb="FFFFC000"/>
        </patternFill>
      </fill>
    </dxf>
    <dxf>
      <font>
        <b/>
        <i val="0"/>
        <color theme="0"/>
      </font>
      <fill>
        <patternFill>
          <bgColor rgb="FFFF0000"/>
        </patternFill>
      </fill>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color theme="1"/>
      </font>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color theme="1"/>
      </font>
      <fill>
        <patternFill>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style="thin">
          <color theme="6" tint="0.39994506668294322"/>
        </vertical>
        <horizontal/>
      </border>
    </dxf>
    <dxf>
      <font>
        <b/>
        <i val="0"/>
        <color theme="0"/>
      </font>
      <fill>
        <patternFill>
          <bgColor theme="2" tint="-0.499984740745262"/>
        </patternFill>
      </fill>
    </dxf>
    <dxf>
      <font>
        <color theme="1"/>
      </font>
    </dxf>
    <dxf>
      <font>
        <b/>
        <i val="0"/>
        <color theme="0"/>
      </font>
      <fill>
        <patternFill>
          <bgColor theme="2" tint="-0.499984740745262"/>
        </patternFill>
      </fill>
      <border diagonalUp="0" diagonalDown="0">
        <left/>
        <right/>
        <top/>
        <bottom/>
        <vertical/>
        <horizontal/>
      </border>
    </dxf>
    <dxf>
      <font>
        <b val="0"/>
        <i val="0"/>
        <color rgb="FF444444"/>
      </font>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s>
  <tableStyles count="3" defaultTableStyle="TableStyleMedium2" defaultPivotStyle="PivotStyleLight16">
    <tableStyle name="CertiKit Slicer 2" pivot="0" table="0" count="10" xr9:uid="{3FFB1DE4-E006-4679-A759-EEE40E7523CA}">
      <tableStyleElement type="wholeTable" dxfId="169"/>
      <tableStyleElement type="headerRow" dxfId="168"/>
    </tableStyle>
    <tableStyle name="CertiKit table style" pivot="0" count="4" xr9:uid="{DB09D369-C8DC-4F2D-8B79-BD07E6702FD9}">
      <tableStyleElement type="wholeTable" dxfId="167"/>
      <tableStyleElement type="headerRow" dxfId="166"/>
      <tableStyleElement type="firstRowStripe" dxfId="165"/>
      <tableStyleElement type="secondRowStripe" dxfId="164"/>
    </tableStyle>
    <tableStyle name="CertiKit table style 2" pivot="0" count="4" xr9:uid="{9A1B8E80-03E5-4000-8EBF-17CB853EFFC2}">
      <tableStyleElement type="wholeTable" dxfId="163"/>
      <tableStyleElement type="headerRow" dxfId="162"/>
      <tableStyleElement type="firstRowStripe" dxfId="161"/>
      <tableStyleElement type="secondRowStripe" dxfId="160"/>
    </tableStyle>
  </tableStyles>
  <colors>
    <mruColors>
      <color rgb="FFD0EAEB"/>
      <color rgb="FF009BA4"/>
      <color rgb="FFCCC900"/>
      <color rgb="FFDBDC2C"/>
      <color rgb="FF444444"/>
      <color rgb="FFFFFFFF"/>
    </mruColors>
  </colors>
  <extLst>
    <ext xmlns:x14="http://schemas.microsoft.com/office/spreadsheetml/2009/9/main" uri="{46F421CA-312F-682f-3DD2-61675219B42D}">
      <x14:dxfs count="8">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theme="0"/>
              </stop>
            </gradientFill>
          </fill>
          <border>
            <left style="thin">
              <color rgb="FF999999"/>
            </left>
            <right style="thin">
              <color rgb="FF999999"/>
            </right>
            <top style="thin">
              <color rgb="FF999999"/>
            </top>
            <bottom style="thin">
              <color rgb="FF999999"/>
            </bottom>
            <vertical/>
            <horizontal/>
          </border>
        </dxf>
        <dxf>
          <font>
            <color rgb="FF444444"/>
          </font>
          <fill>
            <gradientFill degree="90">
              <stop position="0">
                <color theme="3"/>
              </stop>
              <stop position="1">
                <color rgb="FFFFFFFF"/>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D0EAEB"/>
              <bgColor theme="2"/>
            </patternFill>
          </fill>
          <border>
            <left style="thin">
              <color rgb="FFCCCCCC"/>
            </left>
            <right style="thin">
              <color rgb="FFCCCCCC"/>
            </right>
            <top style="thin">
              <color rgb="FFCCCCCC"/>
            </top>
            <bottom style="thin">
              <color rgb="FFCCCCCC"/>
            </bottom>
            <vertical/>
            <horizontal/>
          </border>
        </dxf>
        <dxf>
          <font>
            <color rgb="FF444444"/>
          </font>
          <fill>
            <patternFill patternType="solid">
              <fgColor rgb="FFD0EAEB"/>
              <bgColor theme="2"/>
            </patternFill>
          </fill>
          <border diagonalUp="0" diagonalDown="0">
            <left style="thin">
              <color theme="2" tint="-0.499984740745262"/>
            </left>
            <right style="thin">
              <color theme="2" tint="-0.499984740745262"/>
            </right>
            <top style="thin">
              <color theme="2" tint="-0.499984740745262"/>
            </top>
            <bottom style="thin">
              <color theme="2" tint="-0.499984740745262"/>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444444"/>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ertiKit Slicer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4.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07/relationships/slicerCache" Target="slicerCaches/slicerCache4.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3.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2.xml"/><Relationship Id="rId28" Type="http://schemas.openxmlformats.org/officeDocument/2006/relationships/theme" Target="theme/theme1.xml"/><Relationship Id="rId36"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pivotCacheDefinition" Target="pivotCache/pivotCacheDefinition2.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1.xml"/><Relationship Id="rId27" Type="http://schemas.microsoft.com/office/2007/relationships/slicerCache" Target="slicerCaches/slicerCache6.xml"/><Relationship Id="rId30" Type="http://schemas.openxmlformats.org/officeDocument/2006/relationships/sharedStrings" Target="sharedStrings.xml"/><Relationship Id="rId35"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Tool.xlsx]Pre-treatment risks!PreTreatmentRisks</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Number of pre-treatment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'Pre-treatment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C4F9-4F13-B066-2CA0F9D1A6D3}"/>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C4F9-4F13-B066-2CA0F9D1A6D3}"/>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C4F9-4F13-B066-2CA0F9D1A6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'Pre-treatment risks'!$B$13:$B$15</c:f>
              <c:strCache>
                <c:ptCount val="3"/>
                <c:pt idx="0">
                  <c:v> Low</c:v>
                </c:pt>
                <c:pt idx="1">
                  <c:v> Medium</c:v>
                </c:pt>
                <c:pt idx="2">
                  <c:v> High</c:v>
                </c:pt>
              </c:strCache>
            </c:strRef>
          </c:cat>
          <c:val>
            <c:numRef>
              <c:f>'Pre-treatment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C4F9-4F13-B066-2CA0F9D1A6D3}"/>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Tool.xlsx]Pre-treat risk levels by owner!PreTreatmentRisksByOwner</c:name>
    <c:fmtId val="6"/>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Pre-treatment risk levels by risk owner</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pivotFmt>
      <c:pivotFmt>
        <c:idx val="2"/>
        <c:spPr>
          <a:solidFill>
            <a:schemeClr val="accent2"/>
          </a:solidFill>
          <a:ln>
            <a:noFill/>
          </a:ln>
          <a:effectLst/>
          <a:sp3d/>
        </c:spPr>
      </c:pivotFmt>
      <c:pivotFmt>
        <c:idx val="3"/>
        <c:spPr>
          <a:solidFill>
            <a:schemeClr val="accent3"/>
          </a:solidFill>
          <a:ln>
            <a:noFill/>
          </a:ln>
          <a:effectLst/>
          <a:sp3d/>
        </c:spPr>
      </c:pivotFmt>
      <c:pivotFmt>
        <c:idx val="4"/>
        <c:spPr>
          <a:solidFill>
            <a:schemeClr val="bg2"/>
          </a:solidFill>
          <a:ln>
            <a:noFill/>
          </a:ln>
          <a:effectLst/>
          <a:sp3d/>
        </c:spPr>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pivotFmt>
      <c:pivotFmt>
        <c:idx val="7"/>
        <c:spPr>
          <a:solidFill>
            <a:schemeClr val="accent1"/>
          </a:solidFill>
          <a:ln>
            <a:noFill/>
          </a:ln>
          <a:effectLst/>
          <a:sp3d/>
        </c:spPr>
      </c:pivotFmt>
      <c:pivotFmt>
        <c:idx val="8"/>
        <c:spPr>
          <a:solidFill>
            <a:schemeClr val="accent1"/>
          </a:solidFill>
          <a:ln>
            <a:noFill/>
          </a:ln>
          <a:effectLst/>
          <a:sp3d/>
        </c:spPr>
      </c:pivotFmt>
      <c:pivotFmt>
        <c:idx val="9"/>
        <c:spPr>
          <a:solidFill>
            <a:schemeClr val="accent1"/>
          </a:solidFill>
          <a:ln>
            <a:noFill/>
          </a:ln>
          <a:effectLst/>
          <a:sp3d/>
        </c:spPr>
      </c:pivotFmt>
      <c:pivotFmt>
        <c:idx val="10"/>
        <c:spPr>
          <a:solidFill>
            <a:schemeClr val="accent1"/>
          </a:solidFill>
          <a:ln>
            <a:noFill/>
          </a:ln>
          <a:effectLst/>
          <a:sp3d/>
        </c:spPr>
      </c:pivotFmt>
      <c:pivotFmt>
        <c:idx val="11"/>
        <c:spPr>
          <a:solidFill>
            <a:schemeClr val="accent1"/>
          </a:solidFill>
          <a:ln>
            <a:noFill/>
          </a:ln>
          <a:effectLst/>
          <a:sp3d/>
        </c:spPr>
      </c:pivotFmt>
      <c:pivotFmt>
        <c:idx val="12"/>
        <c:spPr>
          <a:solidFill>
            <a:schemeClr val="accent1"/>
          </a:solidFill>
          <a:ln>
            <a:noFill/>
          </a:ln>
          <a:effectLst/>
          <a:sp3d/>
        </c:spPr>
      </c:pivotFmt>
      <c:pivotFmt>
        <c:idx val="13"/>
        <c:spPr>
          <a:solidFill>
            <a:schemeClr val="bg2"/>
          </a:solidFill>
          <a:ln>
            <a:noFill/>
          </a:ln>
          <a:effectLst/>
          <a:sp3d/>
        </c:spPr>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pivotFmt>
      <c:pivotFmt>
        <c:idx val="16"/>
        <c:spPr>
          <a:solidFill>
            <a:schemeClr val="accent1"/>
          </a:solidFill>
          <a:ln>
            <a:noFill/>
          </a:ln>
          <a:effectLst/>
          <a:sp3d/>
        </c:spPr>
      </c:pivotFmt>
      <c:pivotFmt>
        <c:idx val="17"/>
        <c:spPr>
          <a:solidFill>
            <a:schemeClr val="accent1"/>
          </a:solidFill>
          <a:ln>
            <a:noFill/>
          </a:ln>
          <a:effectLst/>
          <a:sp3d/>
        </c:spPr>
      </c:pivotFmt>
      <c:pivotFmt>
        <c:idx val="18"/>
        <c:spPr>
          <a:solidFill>
            <a:schemeClr val="accent1"/>
          </a:solidFill>
          <a:ln>
            <a:noFill/>
          </a:ln>
          <a:effectLst/>
          <a:sp3d/>
        </c:spPr>
      </c:pivotFmt>
      <c:pivotFmt>
        <c:idx val="19"/>
        <c:spPr>
          <a:solidFill>
            <a:schemeClr val="accent1"/>
          </a:solidFill>
          <a:ln>
            <a:noFill/>
          </a:ln>
          <a:effectLst/>
          <a:sp3d/>
        </c:spPr>
      </c:pivotFmt>
      <c:pivotFmt>
        <c:idx val="20"/>
        <c:spPr>
          <a:solidFill>
            <a:schemeClr val="accent1"/>
          </a:solidFill>
          <a:ln>
            <a:noFill/>
          </a:ln>
          <a:effectLst/>
          <a:sp3d/>
        </c:spPr>
      </c:pivotFmt>
      <c:pivotFmt>
        <c:idx val="21"/>
        <c:spPr>
          <a:solidFill>
            <a:schemeClr val="accent1"/>
          </a:solidFill>
          <a:ln>
            <a:noFill/>
          </a:ln>
          <a:effectLst/>
          <a:sp3d/>
        </c:spPr>
      </c:pivotFmt>
      <c:pivotFmt>
        <c:idx val="22"/>
        <c:spPr>
          <a:solidFill>
            <a:schemeClr val="bg2"/>
          </a:solidFill>
          <a:ln>
            <a:noFill/>
          </a:ln>
          <a:effectLst/>
          <a:sp3d/>
        </c:spPr>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pivotFmt>
      <c:pivotFmt>
        <c:idx val="25"/>
        <c:spPr>
          <a:solidFill>
            <a:schemeClr val="accent1"/>
          </a:solidFill>
          <a:ln>
            <a:noFill/>
          </a:ln>
          <a:effectLst/>
          <a:sp3d/>
        </c:spPr>
      </c:pivotFmt>
      <c:pivotFmt>
        <c:idx val="26"/>
        <c:spPr>
          <a:solidFill>
            <a:schemeClr val="accent1"/>
          </a:solidFill>
          <a:ln>
            <a:noFill/>
          </a:ln>
          <a:effectLst/>
          <a:sp3d/>
        </c:spPr>
      </c:pivotFmt>
      <c:pivotFmt>
        <c:idx val="27"/>
        <c:spPr>
          <a:solidFill>
            <a:schemeClr val="accent1"/>
          </a:solidFill>
          <a:ln>
            <a:noFill/>
          </a:ln>
          <a:effectLst/>
          <a:sp3d/>
        </c:spPr>
      </c:pivotFmt>
      <c:pivotFmt>
        <c:idx val="28"/>
        <c:spPr>
          <a:solidFill>
            <a:schemeClr val="accent1"/>
          </a:solidFill>
          <a:ln>
            <a:noFill/>
          </a:ln>
          <a:effectLst/>
          <a:sp3d/>
        </c:spPr>
      </c:pivotFmt>
      <c:pivotFmt>
        <c:idx val="29"/>
        <c:spPr>
          <a:solidFill>
            <a:schemeClr val="accent1"/>
          </a:solidFill>
          <a:ln>
            <a:noFill/>
          </a:ln>
          <a:effectLst/>
          <a:sp3d/>
        </c:spPr>
      </c:pivotFmt>
      <c:pivotFmt>
        <c:idx val="30"/>
        <c:spPr>
          <a:solidFill>
            <a:schemeClr val="accent1"/>
          </a:solidFill>
          <a:ln>
            <a:noFill/>
          </a:ln>
          <a:effectLst/>
          <a:sp3d/>
        </c:spPr>
      </c:pivotFmt>
      <c:pivotFmt>
        <c:idx val="31"/>
        <c:spPr>
          <a:solidFill>
            <a:schemeClr val="bg2"/>
          </a:solidFill>
          <a:ln>
            <a:noFill/>
          </a:ln>
          <a:effectLst/>
          <a:sp3d/>
        </c:spPr>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pivotFmt>
      <c:pivotFmt>
        <c:idx val="34"/>
        <c:spPr>
          <a:solidFill>
            <a:schemeClr val="accent1"/>
          </a:solidFill>
          <a:ln>
            <a:noFill/>
          </a:ln>
          <a:effectLst/>
          <a:sp3d/>
        </c:spPr>
      </c:pivotFmt>
      <c:pivotFmt>
        <c:idx val="35"/>
        <c:spPr>
          <a:solidFill>
            <a:schemeClr val="accent1"/>
          </a:solidFill>
          <a:ln>
            <a:noFill/>
          </a:ln>
          <a:effectLst/>
          <a:sp3d/>
        </c:spPr>
      </c:pivotFmt>
      <c:pivotFmt>
        <c:idx val="36"/>
        <c:spPr>
          <a:solidFill>
            <a:schemeClr val="accent1"/>
          </a:solidFill>
          <a:ln>
            <a:noFill/>
          </a:ln>
          <a:effectLst/>
          <a:sp3d/>
        </c:spPr>
      </c:pivotFmt>
      <c:pivotFmt>
        <c:idx val="37"/>
        <c:spPr>
          <a:solidFill>
            <a:schemeClr val="accent1"/>
          </a:solidFill>
          <a:ln>
            <a:noFill/>
          </a:ln>
          <a:effectLst/>
          <a:sp3d/>
        </c:spPr>
      </c:pivotFmt>
      <c:pivotFmt>
        <c:idx val="38"/>
        <c:spPr>
          <a:solidFill>
            <a:schemeClr val="accent1"/>
          </a:solidFill>
          <a:ln>
            <a:noFill/>
          </a:ln>
          <a:effectLst/>
          <a:sp3d/>
        </c:spPr>
      </c:pivotFmt>
      <c:pivotFmt>
        <c:idx val="39"/>
        <c:spPr>
          <a:solidFill>
            <a:schemeClr val="accent1"/>
          </a:solidFill>
          <a:ln>
            <a:noFill/>
          </a:ln>
          <a:effectLst/>
          <a:sp3d/>
        </c:spPr>
      </c:pivotFmt>
      <c:pivotFmt>
        <c:idx val="40"/>
        <c:spPr>
          <a:solidFill>
            <a:schemeClr val="bg2"/>
          </a:solidFill>
          <a:ln>
            <a:noFill/>
          </a:ln>
          <a:effectLst/>
          <a:sp3d/>
        </c:spPr>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pivotFmt>
      <c:pivotFmt>
        <c:idx val="43"/>
        <c:spPr>
          <a:solidFill>
            <a:schemeClr val="accent1"/>
          </a:solidFill>
          <a:ln>
            <a:noFill/>
          </a:ln>
          <a:effectLst/>
          <a:sp3d/>
        </c:spPr>
      </c:pivotFmt>
      <c:pivotFmt>
        <c:idx val="44"/>
        <c:spPr>
          <a:solidFill>
            <a:schemeClr val="accent1"/>
          </a:solidFill>
          <a:ln>
            <a:noFill/>
          </a:ln>
          <a:effectLst/>
          <a:sp3d/>
        </c:spPr>
      </c:pivotFmt>
      <c:pivotFmt>
        <c:idx val="45"/>
        <c:spPr>
          <a:solidFill>
            <a:schemeClr val="accent1"/>
          </a:solidFill>
          <a:ln>
            <a:noFill/>
          </a:ln>
          <a:effectLst/>
          <a:sp3d/>
        </c:spPr>
      </c:pivotFmt>
      <c:pivotFmt>
        <c:idx val="46"/>
        <c:spPr>
          <a:solidFill>
            <a:schemeClr val="accent1"/>
          </a:solidFill>
          <a:ln>
            <a:noFill/>
          </a:ln>
          <a:effectLst/>
          <a:sp3d/>
        </c:spPr>
      </c:pivotFmt>
      <c:pivotFmt>
        <c:idx val="47"/>
        <c:spPr>
          <a:solidFill>
            <a:schemeClr val="accent1"/>
          </a:solidFill>
          <a:ln>
            <a:noFill/>
          </a:ln>
          <a:effectLst/>
          <a:sp3d/>
        </c:spPr>
      </c:pivotFmt>
      <c:pivotFmt>
        <c:idx val="48"/>
        <c:spPr>
          <a:solidFill>
            <a:schemeClr val="accent1"/>
          </a:solidFill>
          <a:ln>
            <a:noFill/>
          </a:ln>
          <a:effectLst/>
          <a:sp3d/>
        </c:spPr>
      </c:pivotFmt>
      <c:pivotFmt>
        <c:idx val="49"/>
        <c:spPr>
          <a:solidFill>
            <a:schemeClr val="bg2"/>
          </a:solidFill>
          <a:ln>
            <a:noFill/>
          </a:ln>
          <a:effectLst/>
          <a:sp3d/>
        </c:spPr>
      </c:pivotFmt>
      <c:pivotFmt>
        <c:idx val="5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a:sp3d/>
        </c:spPr>
      </c:pivotFmt>
      <c:pivotFmt>
        <c:idx val="52"/>
        <c:spPr>
          <a:solidFill>
            <a:schemeClr val="accent1"/>
          </a:solidFill>
          <a:ln>
            <a:noFill/>
          </a:ln>
          <a:effectLst/>
          <a:sp3d/>
        </c:spPr>
      </c:pivotFmt>
      <c:pivotFmt>
        <c:idx val="53"/>
        <c:spPr>
          <a:solidFill>
            <a:schemeClr val="accent1"/>
          </a:solidFill>
          <a:ln>
            <a:noFill/>
          </a:ln>
          <a:effectLst/>
          <a:sp3d/>
        </c:spPr>
      </c:pivotFmt>
      <c:pivotFmt>
        <c:idx val="54"/>
        <c:spPr>
          <a:solidFill>
            <a:schemeClr val="accent1"/>
          </a:solidFill>
          <a:ln>
            <a:noFill/>
          </a:ln>
          <a:effectLst/>
          <a:sp3d/>
        </c:spPr>
      </c:pivotFmt>
      <c:pivotFmt>
        <c:idx val="55"/>
        <c:spPr>
          <a:solidFill>
            <a:schemeClr val="accent1"/>
          </a:solidFill>
          <a:ln>
            <a:noFill/>
          </a:ln>
          <a:effectLst/>
          <a:sp3d/>
        </c:spPr>
      </c:pivotFmt>
      <c:pivotFmt>
        <c:idx val="56"/>
        <c:spPr>
          <a:solidFill>
            <a:schemeClr val="accent1"/>
          </a:solidFill>
          <a:ln>
            <a:noFill/>
          </a:ln>
          <a:effectLst/>
          <a:sp3d/>
        </c:spPr>
      </c:pivotFmt>
      <c:pivotFmt>
        <c:idx val="57"/>
        <c:spPr>
          <a:solidFill>
            <a:schemeClr val="accent1"/>
          </a:solidFill>
          <a:ln>
            <a:noFill/>
          </a:ln>
          <a:effectLst/>
          <a:sp3d/>
        </c:spPr>
      </c:pivotFmt>
      <c:pivotFmt>
        <c:idx val="58"/>
        <c:spPr>
          <a:solidFill>
            <a:schemeClr val="bg2"/>
          </a:solidFill>
          <a:ln>
            <a:noFill/>
          </a:ln>
          <a:effectLst/>
          <a:sp3d/>
        </c:spPr>
      </c:pivotFmt>
      <c:pivotFmt>
        <c:idx val="59"/>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'Pre-treat risk levels by owner'!$D$6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1-9B3B-4BBF-B885-B1713D797CCC}"/>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3-9B3B-4BBF-B885-B1713D797CCC}"/>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5-9B3B-4BBF-B885-B1713D797CCC}"/>
              </c:ext>
            </c:extLst>
          </c:dPt>
          <c:dPt>
            <c:idx val="3"/>
            <c:invertIfNegative val="0"/>
            <c:bubble3D val="0"/>
            <c:spPr>
              <a:solidFill>
                <a:schemeClr val="accent4"/>
              </a:solidFill>
              <a:ln>
                <a:noFill/>
              </a:ln>
              <a:effectLst/>
              <a:sp3d/>
            </c:spPr>
            <c:extLst>
              <c:ext xmlns:c16="http://schemas.microsoft.com/office/drawing/2014/chart" uri="{C3380CC4-5D6E-409C-BE32-E72D297353CC}">
                <c16:uniqueId val="{00000007-9B3B-4BBF-B885-B1713D797CCC}"/>
              </c:ext>
            </c:extLst>
          </c:dPt>
          <c:dPt>
            <c:idx val="4"/>
            <c:invertIfNegative val="0"/>
            <c:bubble3D val="0"/>
            <c:spPr>
              <a:solidFill>
                <a:schemeClr val="accent5"/>
              </a:solidFill>
              <a:ln>
                <a:noFill/>
              </a:ln>
              <a:effectLst/>
              <a:sp3d/>
            </c:spPr>
            <c:extLst>
              <c:ext xmlns:c16="http://schemas.microsoft.com/office/drawing/2014/chart" uri="{C3380CC4-5D6E-409C-BE32-E72D297353CC}">
                <c16:uniqueId val="{00000009-9B3B-4BBF-B885-B1713D797CCC}"/>
              </c:ext>
            </c:extLst>
          </c:dPt>
          <c:dPt>
            <c:idx val="5"/>
            <c:invertIfNegative val="0"/>
            <c:bubble3D val="0"/>
            <c:spPr>
              <a:solidFill>
                <a:schemeClr val="accent6"/>
              </a:solidFill>
              <a:ln>
                <a:noFill/>
              </a:ln>
              <a:effectLst/>
              <a:sp3d/>
            </c:spPr>
            <c:extLst>
              <c:ext xmlns:c16="http://schemas.microsoft.com/office/drawing/2014/chart" uri="{C3380CC4-5D6E-409C-BE32-E72D297353CC}">
                <c16:uniqueId val="{0000000B-9B3B-4BBF-B885-B1713D797CCC}"/>
              </c:ext>
            </c:extLst>
          </c:dPt>
          <c:dPt>
            <c:idx val="6"/>
            <c:invertIfNegative val="0"/>
            <c:bubble3D val="0"/>
            <c:spPr>
              <a:solidFill>
                <a:schemeClr val="accent1">
                  <a:lumMod val="60000"/>
                </a:schemeClr>
              </a:solidFill>
              <a:ln>
                <a:noFill/>
              </a:ln>
              <a:effectLst/>
              <a:sp3d/>
            </c:spPr>
            <c:extLst>
              <c:ext xmlns:c16="http://schemas.microsoft.com/office/drawing/2014/chart" uri="{C3380CC4-5D6E-409C-BE32-E72D297353CC}">
                <c16:uniqueId val="{0000000D-9B3B-4BBF-B885-B1713D797CCC}"/>
              </c:ext>
            </c:extLst>
          </c:dPt>
          <c:dPt>
            <c:idx val="7"/>
            <c:invertIfNegative val="0"/>
            <c:bubble3D val="0"/>
            <c:spPr>
              <a:solidFill>
                <a:schemeClr val="accent2">
                  <a:lumMod val="60000"/>
                </a:schemeClr>
              </a:solidFill>
              <a:ln>
                <a:noFill/>
              </a:ln>
              <a:effectLst/>
              <a:sp3d/>
            </c:spPr>
            <c:extLst>
              <c:ext xmlns:c16="http://schemas.microsoft.com/office/drawing/2014/chart" uri="{C3380CC4-5D6E-409C-BE32-E72D297353CC}">
                <c16:uniqueId val="{0000000F-9B3B-4BBF-B885-B1713D797CCC}"/>
              </c:ext>
            </c:extLst>
          </c:dPt>
          <c:cat>
            <c:multiLvlStrRef>
              <c:f>'Pre-treat risk levels by owner'!$B$7:$C$7</c:f>
              <c:multiLvlStrCache>
                <c:ptCount val="1"/>
                <c:lvl>
                  <c:pt idx="0">
                    <c:v>(blank)</c:v>
                  </c:pt>
                </c:lvl>
                <c:lvl>
                  <c:pt idx="0">
                    <c:v>Calculated</c:v>
                  </c:pt>
                </c:lvl>
              </c:multiLvlStrCache>
            </c:multiLvlStrRef>
          </c:cat>
          <c:val>
            <c:numRef>
              <c:f>'Pre-treat risk levels by owner'!$D$7</c:f>
              <c:numCache>
                <c:formatCode>General</c:formatCode>
                <c:ptCount val="1"/>
                <c:pt idx="0">
                  <c:v>20</c:v>
                </c:pt>
              </c:numCache>
            </c:numRef>
          </c:val>
          <c:extLst>
            <c:ext xmlns:c16="http://schemas.microsoft.com/office/drawing/2014/chart" uri="{C3380CC4-5D6E-409C-BE32-E72D297353CC}">
              <c16:uniqueId val="{00000010-9B3B-4BBF-B885-B1713D797CCC}"/>
            </c:ext>
          </c:extLst>
        </c:ser>
        <c:dLbls>
          <c:showLegendKey val="0"/>
          <c:showVal val="0"/>
          <c:showCatName val="0"/>
          <c:showSerName val="0"/>
          <c:showPercent val="0"/>
          <c:showBubbleSize val="0"/>
        </c:dLbls>
        <c:gapWidth val="150"/>
        <c:shape val="box"/>
        <c:axId val="1162753848"/>
        <c:axId val="1162751552"/>
        <c:axId val="0"/>
      </c:bar3DChart>
      <c:catAx>
        <c:axId val="11627538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2751552"/>
        <c:crosses val="autoZero"/>
        <c:auto val="1"/>
        <c:lblAlgn val="ctr"/>
        <c:lblOffset val="100"/>
        <c:noMultiLvlLbl val="0"/>
      </c:catAx>
      <c:valAx>
        <c:axId val="116275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162753848"/>
        <c:crosses val="autoZero"/>
        <c:crossBetween val="between"/>
        <c:majorUnit val="5"/>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Tool.xlsx]Post-treatment risks!PostTreatmentRisks</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Number of post-treatment risks</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w="25400">
            <a:solidFill>
              <a:schemeClr val="lt1"/>
            </a:solidFill>
          </a:ln>
          <a:effectLst/>
          <a:sp3d contourW="25400">
            <a:contourClr>
              <a:schemeClr val="lt1"/>
            </a:contourClr>
          </a:sp3d>
        </c:spPr>
      </c:pivotFmt>
      <c:pivotFmt>
        <c:idx val="2"/>
        <c:spPr>
          <a:solidFill>
            <a:srgbClr val="FFC000"/>
          </a:solidFill>
          <a:ln w="25400">
            <a:solidFill>
              <a:schemeClr val="lt1"/>
            </a:solidFill>
          </a:ln>
          <a:effectLst/>
          <a:sp3d contourW="25400">
            <a:contourClr>
              <a:schemeClr val="lt1"/>
            </a:contourClr>
          </a:sp3d>
        </c:spPr>
      </c:pivotFmt>
      <c:pivotFmt>
        <c:idx val="3"/>
        <c:spPr>
          <a:solidFill>
            <a:srgbClr val="FF0000"/>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92D050"/>
          </a:solidFill>
          <a:ln w="25400">
            <a:solidFill>
              <a:schemeClr val="lt1"/>
            </a:solidFill>
          </a:ln>
          <a:effectLst/>
          <a:sp3d contourW="25400">
            <a:contourClr>
              <a:schemeClr val="lt1"/>
            </a:contourClr>
          </a:sp3d>
        </c:spPr>
      </c:pivotFmt>
      <c:pivotFmt>
        <c:idx val="6"/>
        <c:spPr>
          <a:solidFill>
            <a:srgbClr val="FFC000"/>
          </a:solidFill>
          <a:ln w="25400">
            <a:solidFill>
              <a:schemeClr val="lt1"/>
            </a:solidFill>
          </a:ln>
          <a:effectLst/>
          <a:sp3d contourW="25400">
            <a:contourClr>
              <a:schemeClr val="lt1"/>
            </a:contourClr>
          </a:sp3d>
        </c:spPr>
      </c:pivotFmt>
      <c:pivotFmt>
        <c:idx val="7"/>
        <c:spPr>
          <a:solidFill>
            <a:srgbClr val="FF0000"/>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92D050"/>
          </a:solidFill>
          <a:ln w="25400">
            <a:solidFill>
              <a:schemeClr val="lt1"/>
            </a:solidFill>
          </a:ln>
          <a:effectLst/>
          <a:sp3d contourW="25400">
            <a:contourClr>
              <a:schemeClr val="lt1"/>
            </a:contourClr>
          </a:sp3d>
        </c:spPr>
      </c:pivotFmt>
      <c:pivotFmt>
        <c:idx val="10"/>
        <c:spPr>
          <a:solidFill>
            <a:srgbClr val="FFC000"/>
          </a:solidFill>
          <a:ln w="25400">
            <a:solidFill>
              <a:schemeClr val="lt1"/>
            </a:solidFill>
          </a:ln>
          <a:effectLst/>
          <a:sp3d contourW="25400">
            <a:contourClr>
              <a:schemeClr val="lt1"/>
            </a:contourClr>
          </a:sp3d>
        </c:spPr>
      </c:pivotFmt>
      <c:pivotFmt>
        <c:idx val="11"/>
        <c:spPr>
          <a:solidFill>
            <a:srgbClr val="FF0000"/>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'Post-treatment risks'!$C$12</c:f>
              <c:strCache>
                <c:ptCount val="1"/>
                <c:pt idx="0">
                  <c:v>Total</c:v>
                </c:pt>
              </c:strCache>
            </c:strRef>
          </c:tx>
          <c:dPt>
            <c:idx val="0"/>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1-07CC-4558-9D96-E542BB06682D}"/>
              </c:ext>
            </c:extLst>
          </c:dPt>
          <c:dPt>
            <c:idx val="1"/>
            <c:bubble3D val="0"/>
            <c:spPr>
              <a:solidFill>
                <a:srgbClr val="FFC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3-07CC-4558-9D96-E542BB06682D}"/>
              </c:ext>
            </c:extLst>
          </c:dPt>
          <c:dPt>
            <c:idx val="2"/>
            <c:bubble3D val="0"/>
            <c:spPr>
              <a:solidFill>
                <a:srgbClr val="FF0000"/>
              </a:solidFill>
              <a:ln w="25400">
                <a:solidFill>
                  <a:schemeClr val="lt1"/>
                </a:solidFill>
              </a:ln>
              <a:effectLst/>
              <a:sp3d contourW="25400">
                <a:contourClr>
                  <a:schemeClr val="lt1"/>
                </a:contourClr>
              </a:sp3d>
            </c:spPr>
            <c:extLst>
              <c:ext xmlns:c16="http://schemas.microsoft.com/office/drawing/2014/chart" uri="{C3380CC4-5D6E-409C-BE32-E72D297353CC}">
                <c16:uniqueId val="{00000005-07CC-4558-9D96-E542BB06682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'Post-treatment risks'!$B$13:$B$15</c:f>
              <c:strCache>
                <c:ptCount val="3"/>
                <c:pt idx="0">
                  <c:v> Low</c:v>
                </c:pt>
                <c:pt idx="1">
                  <c:v> Medium</c:v>
                </c:pt>
                <c:pt idx="2">
                  <c:v> High</c:v>
                </c:pt>
              </c:strCache>
            </c:strRef>
          </c:cat>
          <c:val>
            <c:numRef>
              <c:f>'Post-treatment risks'!$C$13:$C$15</c:f>
              <c:numCache>
                <c:formatCode>General</c:formatCode>
                <c:ptCount val="3"/>
                <c:pt idx="0">
                  <c:v>0</c:v>
                </c:pt>
                <c:pt idx="1">
                  <c:v>0</c:v>
                </c:pt>
                <c:pt idx="2">
                  <c:v>0</c:v>
                </c:pt>
              </c:numCache>
            </c:numRef>
          </c:val>
          <c:extLst>
            <c:ext xmlns:c16="http://schemas.microsoft.com/office/drawing/2014/chart" uri="{C3380CC4-5D6E-409C-BE32-E72D297353CC}">
              <c16:uniqueId val="{00000006-07CC-4558-9D96-E542BB06682D}"/>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Tool.xlsx]Risks by risk level pre &amp; post!RisksByRiskLevelPre&amp;PostTreatment</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Number of risks by risk level pre and post treatment</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a:sp3d/>
        </c:spPr>
      </c:pivotFmt>
      <c:pivotFmt>
        <c:idx val="3"/>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bg2">
              <a:lumMod val="9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'Risks by risk level pre &amp; post'!$C$12</c:f>
              <c:strCache>
                <c:ptCount val="1"/>
                <c:pt idx="0">
                  <c:v>Pre-treatment </c:v>
                </c:pt>
              </c:strCache>
            </c:strRef>
          </c:tx>
          <c:spPr>
            <a:solidFill>
              <a:schemeClr val="bg2">
                <a:lumMod val="5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post'!$C$13:$C$15</c:f>
              <c:numCache>
                <c:formatCode>General</c:formatCode>
                <c:ptCount val="3"/>
                <c:pt idx="0">
                  <c:v>0</c:v>
                </c:pt>
                <c:pt idx="1">
                  <c:v>0</c:v>
                </c:pt>
                <c:pt idx="2">
                  <c:v>0</c:v>
                </c:pt>
              </c:numCache>
            </c:numRef>
          </c:val>
          <c:extLst>
            <c:ext xmlns:c16="http://schemas.microsoft.com/office/drawing/2014/chart" uri="{C3380CC4-5D6E-409C-BE32-E72D297353CC}">
              <c16:uniqueId val="{00000000-81E7-406C-9C68-227E5E19888B}"/>
            </c:ext>
          </c:extLst>
        </c:ser>
        <c:ser>
          <c:idx val="1"/>
          <c:order val="1"/>
          <c:tx>
            <c:strRef>
              <c:f>'Risks by risk level pre &amp; post'!$D$12</c:f>
              <c:strCache>
                <c:ptCount val="1"/>
                <c:pt idx="0">
                  <c:v>Post-treatment </c:v>
                </c:pt>
              </c:strCache>
            </c:strRef>
          </c:tx>
          <c:spPr>
            <a:solidFill>
              <a:schemeClr val="bg2">
                <a:lumMod val="90000"/>
              </a:schemeClr>
            </a:solidFill>
            <a:ln>
              <a:noFill/>
            </a:ln>
            <a:effectLst/>
            <a:sp3d/>
          </c:spPr>
          <c:invertIfNegative val="0"/>
          <c:cat>
            <c:strRef>
              <c:f>'Risks by risk level pre &amp; post'!$B$13:$B$15</c:f>
              <c:strCache>
                <c:ptCount val="3"/>
                <c:pt idx="0">
                  <c:v> Low</c:v>
                </c:pt>
                <c:pt idx="1">
                  <c:v> Medium</c:v>
                </c:pt>
                <c:pt idx="2">
                  <c:v> High</c:v>
                </c:pt>
              </c:strCache>
            </c:strRef>
          </c:cat>
          <c:val>
            <c:numRef>
              <c:f>'Risks by risk level pre &amp; post'!$D$13:$D$15</c:f>
              <c:numCache>
                <c:formatCode>General</c:formatCode>
                <c:ptCount val="3"/>
                <c:pt idx="0">
                  <c:v>0</c:v>
                </c:pt>
                <c:pt idx="1">
                  <c:v>0</c:v>
                </c:pt>
                <c:pt idx="2">
                  <c:v>0</c:v>
                </c:pt>
              </c:numCache>
            </c:numRef>
          </c:val>
          <c:extLst>
            <c:ext xmlns:c16="http://schemas.microsoft.com/office/drawing/2014/chart" uri="{C3380CC4-5D6E-409C-BE32-E72D297353CC}">
              <c16:uniqueId val="{00000001-81E7-406C-9C68-227E5E19888B}"/>
            </c:ext>
          </c:extLst>
        </c:ser>
        <c:dLbls>
          <c:showLegendKey val="0"/>
          <c:showVal val="0"/>
          <c:showCatName val="0"/>
          <c:showSerName val="0"/>
          <c:showPercent val="0"/>
          <c:showBubbleSize val="0"/>
        </c:dLbls>
        <c:gapWidth val="150"/>
        <c:shape val="box"/>
        <c:axId val="557795048"/>
        <c:axId val="557795376"/>
        <c:axId val="0"/>
      </c:bar3DChart>
      <c:catAx>
        <c:axId val="5577950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376"/>
        <c:crosses val="autoZero"/>
        <c:auto val="1"/>
        <c:lblAlgn val="ctr"/>
        <c:lblOffset val="100"/>
        <c:noMultiLvlLbl val="0"/>
      </c:catAx>
      <c:valAx>
        <c:axId val="55779537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7795048"/>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Tool.xlsx]Treatment option chosen!RisksByTreatmentOption</c:name>
    <c:fmtId val="2"/>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GB" sz="1400" b="0" i="0" baseline="0">
                <a:solidFill>
                  <a:schemeClr val="tx1"/>
                </a:solidFill>
                <a:effectLst/>
              </a:rPr>
              <a:t>Risks by treatment option chosen</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solidFill>
          <a:ln w="25400">
            <a:solidFill>
              <a:schemeClr val="lt1"/>
            </a:solidFill>
          </a:ln>
          <a:effectLst/>
          <a:sp3d contourW="25400">
            <a:contourClr>
              <a:schemeClr val="lt1"/>
            </a:contourClr>
          </a:sp3d>
        </c:spPr>
      </c:pivotFmt>
      <c:pivotFmt>
        <c:idx val="2"/>
        <c:spPr>
          <a:solidFill>
            <a:schemeClr val="accent2"/>
          </a:solidFill>
          <a:ln w="25400">
            <a:solidFill>
              <a:schemeClr val="lt1"/>
            </a:solidFill>
          </a:ln>
          <a:effectLst/>
          <a:sp3d contourW="25400">
            <a:contourClr>
              <a:schemeClr val="lt1"/>
            </a:contourClr>
          </a:sp3d>
        </c:spPr>
      </c:pivotFmt>
      <c:pivotFmt>
        <c:idx val="3"/>
        <c:spPr>
          <a:solidFill>
            <a:schemeClr val="accent4"/>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5"/>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
        <c:idx val="18"/>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'Treatment option chosen'!$C$6</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0E33-443D-9569-A2C2FE1E8316}"/>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0E33-443D-9569-A2C2FE1E8316}"/>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0E33-443D-9569-A2C2FE1E8316}"/>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0E33-443D-9569-A2C2FE1E8316}"/>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0E33-443D-9569-A2C2FE1E83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'Treatment option chosen'!$B$7</c:f>
              <c:strCache>
                <c:ptCount val="1"/>
                <c:pt idx="0">
                  <c:v>Select…</c:v>
                </c:pt>
              </c:strCache>
            </c:strRef>
          </c:cat>
          <c:val>
            <c:numRef>
              <c:f>'Treatment option chosen'!$C$7</c:f>
              <c:numCache>
                <c:formatCode>General</c:formatCode>
                <c:ptCount val="1"/>
              </c:numCache>
            </c:numRef>
          </c:val>
          <c:extLst>
            <c:ext xmlns:c16="http://schemas.microsoft.com/office/drawing/2014/chart" uri="{C3380CC4-5D6E-409C-BE32-E72D297353CC}">
              <c16:uniqueId val="{0000000A-0E33-443D-9569-A2C2FE1E8316}"/>
            </c:ext>
          </c:extLst>
        </c:ser>
        <c:dLbls>
          <c:dLblPos val="outEnd"/>
          <c:showLegendKey val="0"/>
          <c:showVal val="1"/>
          <c:showCatName val="0"/>
          <c:showSerName val="0"/>
          <c:showPercent val="0"/>
          <c:showBubbleSize val="0"/>
          <c:showLeaderLines val="1"/>
        </c:dLbls>
      </c:pie3D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Tool.xlsx]Treatment cost !TreatmentCosts</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r>
              <a:rPr lang="en-US" sz="1400" b="0" i="0" baseline="0">
                <a:solidFill>
                  <a:schemeClr val="tx1"/>
                </a:solidFill>
                <a:effectLst/>
              </a:rPr>
              <a:t>Total treatment cost by risk level</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444444">
                  <a:lumMod val="65000"/>
                  <a:lumOff val="35000"/>
                </a:srgb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a:sp3d/>
        </c:spPr>
      </c:pivotFmt>
      <c:pivotFmt>
        <c:idx val="4"/>
        <c:spPr>
          <a:solidFill>
            <a:srgbClr val="FF0000"/>
          </a:solidFill>
          <a:ln>
            <a:noFill/>
          </a:ln>
          <a:effectLst/>
          <a:sp3d/>
        </c:spPr>
      </c:pivotFmt>
      <c:pivotFmt>
        <c:idx val="5"/>
        <c:spPr>
          <a:solidFill>
            <a:srgbClr val="92D050"/>
          </a:solidFill>
          <a:ln>
            <a:noFill/>
          </a:ln>
          <a:effectLst/>
          <a:sp3d/>
        </c:spPr>
      </c:pivotFmt>
      <c:pivotFmt>
        <c:idx val="6"/>
        <c:spPr>
          <a:solidFill>
            <a:schemeClr val="accent1"/>
          </a:soli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1"/>
        <c:ser>
          <c:idx val="0"/>
          <c:order val="0"/>
          <c:tx>
            <c:strRef>
              <c:f>'Treatment cost '!$C$6</c:f>
              <c:strCache>
                <c:ptCount val="1"/>
                <c:pt idx="0">
                  <c:v>Total</c:v>
                </c:pt>
              </c:strCache>
            </c:strRef>
          </c:tx>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3-2DE5-4448-83E5-A4A7C3DBC3E1}"/>
              </c:ext>
            </c:extLst>
          </c:dPt>
          <c:dPt>
            <c:idx val="1"/>
            <c:invertIfNegative val="0"/>
            <c:bubble3D val="0"/>
            <c:spPr>
              <a:solidFill>
                <a:schemeClr val="accent2"/>
              </a:solidFill>
              <a:ln>
                <a:noFill/>
              </a:ln>
              <a:effectLst/>
              <a:sp3d/>
            </c:spPr>
            <c:extLst>
              <c:ext xmlns:c16="http://schemas.microsoft.com/office/drawing/2014/chart" uri="{C3380CC4-5D6E-409C-BE32-E72D297353CC}">
                <c16:uniqueId val="{00000001-2DE5-4448-83E5-A4A7C3DBC3E1}"/>
              </c:ext>
            </c:extLst>
          </c:dPt>
          <c:dPt>
            <c:idx val="2"/>
            <c:invertIfNegative val="0"/>
            <c:bubble3D val="0"/>
            <c:spPr>
              <a:solidFill>
                <a:schemeClr val="accent3"/>
              </a:solidFill>
              <a:ln>
                <a:noFill/>
              </a:ln>
              <a:effectLst/>
              <a:sp3d/>
            </c:spPr>
            <c:extLst>
              <c:ext xmlns:c16="http://schemas.microsoft.com/office/drawing/2014/chart" uri="{C3380CC4-5D6E-409C-BE32-E72D297353CC}">
                <c16:uniqueId val="{00000002-2DE5-4448-83E5-A4A7C3DBC3E1}"/>
              </c:ext>
            </c:extLst>
          </c:dPt>
          <c:cat>
            <c:strRef>
              <c:f>'Treatment cost '!$B$7</c:f>
              <c:strCache>
                <c:ptCount val="1"/>
                <c:pt idx="0">
                  <c:v>Calculated</c:v>
                </c:pt>
              </c:strCache>
            </c:strRef>
          </c:cat>
          <c:val>
            <c:numRef>
              <c:f>'Treatment cost '!$C$7</c:f>
              <c:numCache>
                <c:formatCode>#,##0</c:formatCode>
                <c:ptCount val="1"/>
                <c:pt idx="0">
                  <c:v>0</c:v>
                </c:pt>
              </c:numCache>
            </c:numRef>
          </c:val>
          <c:extLst>
            <c:ext xmlns:c16="http://schemas.microsoft.com/office/drawing/2014/chart" uri="{C3380CC4-5D6E-409C-BE32-E72D297353CC}">
              <c16:uniqueId val="{00000000-2DE5-4448-83E5-A4A7C3DBC3E1}"/>
            </c:ext>
          </c:extLst>
        </c:ser>
        <c:dLbls>
          <c:showLegendKey val="0"/>
          <c:showVal val="0"/>
          <c:showCatName val="0"/>
          <c:showSerName val="0"/>
          <c:showPercent val="0"/>
          <c:showBubbleSize val="0"/>
        </c:dLbls>
        <c:gapWidth val="150"/>
        <c:shape val="box"/>
        <c:axId val="1275265464"/>
        <c:axId val="1275260544"/>
        <c:axId val="0"/>
      </c:bar3DChart>
      <c:catAx>
        <c:axId val="12752654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260544"/>
        <c:crosses val="autoZero"/>
        <c:auto val="1"/>
        <c:lblAlgn val="ctr"/>
        <c:lblOffset val="100"/>
        <c:noMultiLvlLbl val="0"/>
      </c:catAx>
      <c:valAx>
        <c:axId val="127526054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5265464"/>
        <c:crosses val="autoZero"/>
        <c:crossBetween val="between"/>
      </c:valAx>
      <c:dTable>
        <c:showHorzBorder val="0"/>
        <c:showVertBorder val="1"/>
        <c:showOutline val="0"/>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[ISMS-FORM-06-3 Scenario-Based Risk Tool.xlsx]Treatment action owner !TreatmentActionOwner</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sz="1400" b="0" i="0" baseline="0">
                <a:solidFill>
                  <a:schemeClr val="tx1"/>
                </a:solidFill>
                <a:effectLst/>
              </a:rPr>
              <a:t>Treatment action owner </a:t>
            </a:r>
            <a:endParaRPr lang="en-GB" sz="1400">
              <a:solidFill>
                <a:schemeClr val="tx1"/>
              </a:solidFill>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FFC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FF000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'Treatment action owner '!$C$6:$C$7</c:f>
              <c:strCache>
                <c:ptCount val="1"/>
                <c:pt idx="0">
                  <c:v>Calculated</c:v>
                </c:pt>
              </c:strCache>
            </c:strRef>
          </c:tx>
          <c:spPr>
            <a:solidFill>
              <a:schemeClr val="accent1"/>
            </a:solidFill>
            <a:ln>
              <a:noFill/>
            </a:ln>
            <a:effectLst/>
            <a:sp3d/>
          </c:spPr>
          <c:invertIfNegative val="0"/>
          <c:cat>
            <c:strRef>
              <c:f>'Treatment action owner '!$B$8</c:f>
              <c:strCache>
                <c:ptCount val="1"/>
                <c:pt idx="0">
                  <c:v>(blank)</c:v>
                </c:pt>
              </c:strCache>
            </c:strRef>
          </c:cat>
          <c:val>
            <c:numRef>
              <c:f>'Treatment action owner '!$C$8</c:f>
              <c:numCache>
                <c:formatCode>General</c:formatCode>
                <c:ptCount val="1"/>
              </c:numCache>
            </c:numRef>
          </c:val>
          <c:extLst>
            <c:ext xmlns:c16="http://schemas.microsoft.com/office/drawing/2014/chart" uri="{C3380CC4-5D6E-409C-BE32-E72D297353CC}">
              <c16:uniqueId val="{00000000-BDA9-4BEA-BC20-D8A3080FFCF0}"/>
            </c:ext>
          </c:extLst>
        </c:ser>
        <c:dLbls>
          <c:showLegendKey val="0"/>
          <c:showVal val="0"/>
          <c:showCatName val="0"/>
          <c:showSerName val="0"/>
          <c:showPercent val="0"/>
          <c:showBubbleSize val="0"/>
        </c:dLbls>
        <c:gapWidth val="150"/>
        <c:shape val="box"/>
        <c:axId val="1242980056"/>
        <c:axId val="1242986944"/>
        <c:axId val="0"/>
      </c:bar3DChart>
      <c:catAx>
        <c:axId val="12429800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6944"/>
        <c:crosses val="autoZero"/>
        <c:auto val="1"/>
        <c:lblAlgn val="ctr"/>
        <c:lblOffset val="100"/>
        <c:noMultiLvlLbl val="0"/>
      </c:catAx>
      <c:valAx>
        <c:axId val="12429869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42980056"/>
        <c:crosses val="autoZero"/>
        <c:crossBetween val="between"/>
        <c:majorUnit val="2"/>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openxmlformats.org/officeDocument/2006/relationships/image" Target="../media/image3.jpe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_rels/drawing7.xml.rels><?xml version="1.0" encoding="UTF-8" standalone="yes"?>
<Relationships xmlns="http://schemas.openxmlformats.org/package/2006/relationships"><Relationship Id="rId1" Type="http://schemas.openxmlformats.org/officeDocument/2006/relationships/image" Target="../media/image2.jpeg"/></Relationships>
</file>

<file path=xl/drawings/_rels/drawing8.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0</xdr:rowOff>
    </xdr:from>
    <xdr:to>
      <xdr:col>1</xdr:col>
      <xdr:colOff>2956159</xdr:colOff>
      <xdr:row>5</xdr:row>
      <xdr:rowOff>9525</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1" y="190500"/>
          <a:ext cx="2956158" cy="771525"/>
        </a:xfrm>
        <a:prstGeom prst="rect">
          <a:avLst/>
        </a:prstGeom>
      </xdr:spPr>
    </xdr:pic>
    <xdr:clientData/>
  </xdr:twoCellAnchor>
  <xdr:twoCellAnchor editAs="absolute">
    <xdr:from>
      <xdr:col>1</xdr:col>
      <xdr:colOff>3209925</xdr:colOff>
      <xdr:row>0</xdr:row>
      <xdr:rowOff>133350</xdr:rowOff>
    </xdr:from>
    <xdr:to>
      <xdr:col>2</xdr:col>
      <xdr:colOff>114300</xdr:colOff>
      <xdr:row>7</xdr:row>
      <xdr:rowOff>9525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3400425" y="133350"/>
          <a:ext cx="3114675"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Scenario-Based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ISMS-FORM-06-3</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2</xdr:col>
      <xdr:colOff>3467100</xdr:colOff>
      <xdr:row>1</xdr:row>
      <xdr:rowOff>19049</xdr:rowOff>
    </xdr:from>
    <xdr:to>
      <xdr:col>3</xdr:col>
      <xdr:colOff>85725</xdr:colOff>
      <xdr:row>7</xdr:row>
      <xdr:rowOff>85724</xdr:rowOff>
    </xdr:to>
    <xdr:sp macro="" textlink="">
      <xdr:nvSpPr>
        <xdr:cNvPr id="3" name="TextBox 2">
          <a:extLst>
            <a:ext uri="{FF2B5EF4-FFF2-40B4-BE49-F238E27FC236}">
              <a16:creationId xmlns:a16="http://schemas.microsoft.com/office/drawing/2014/main" id="{00000000-0008-0000-0100-000003000000}"/>
            </a:ext>
          </a:extLst>
        </xdr:cNvPr>
        <xdr:cNvSpPr txBox="1"/>
      </xdr:nvSpPr>
      <xdr:spPr>
        <a:xfrm>
          <a:off x="5324475" y="209549"/>
          <a:ext cx="2200275" cy="1209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r" defTabSz="914400" eaLnBrk="1" fontAlgn="auto" latinLnBrk="0" hangingPunct="1">
            <a:lnSpc>
              <a:spcPct val="100000"/>
            </a:lnSpc>
            <a:spcBef>
              <a:spcPts val="0"/>
            </a:spcBef>
            <a:spcAft>
              <a:spcPts val="0"/>
            </a:spcAft>
            <a:buClrTx/>
            <a:buSzTx/>
            <a:buFontTx/>
            <a:buNone/>
            <a:tabLst/>
            <a:defRPr/>
          </a:pPr>
          <a:r>
            <a:rPr kumimoji="0" lang="en-GB" sz="1800" b="1" i="0" u="none" strike="noStrike" kern="0" cap="none" spc="0" normalizeH="0" baseline="0" noProof="0">
              <a:ln>
                <a:noFill/>
              </a:ln>
              <a:solidFill>
                <a:srgbClr val="444444"/>
              </a:solidFill>
              <a:effectLst/>
              <a:uLnTx/>
              <a:uFillTx/>
              <a:latin typeface="+mn-lt"/>
              <a:ea typeface="+mn-ea"/>
              <a:cs typeface="+mn-cs"/>
            </a:rPr>
            <a:t>Scenario-Based Risk</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Assessment and</a:t>
          </a:r>
          <a:br>
            <a:rPr kumimoji="0" lang="en-GB" sz="1800" b="1" i="0" u="none" strike="noStrike" kern="0" cap="none" spc="0" normalizeH="0" baseline="0" noProof="0">
              <a:ln>
                <a:noFill/>
              </a:ln>
              <a:solidFill>
                <a:srgbClr val="444444"/>
              </a:solidFill>
              <a:effectLst/>
              <a:uLnTx/>
              <a:uFillTx/>
              <a:latin typeface="+mn-lt"/>
              <a:ea typeface="+mn-ea"/>
              <a:cs typeface="+mn-cs"/>
            </a:rPr>
          </a:br>
          <a:r>
            <a:rPr kumimoji="0" lang="en-GB" sz="1800" b="1" i="0" u="none" strike="noStrike" kern="0" cap="none" spc="0" normalizeH="0" baseline="0" noProof="0">
              <a:ln>
                <a:noFill/>
              </a:ln>
              <a:solidFill>
                <a:srgbClr val="444444"/>
              </a:solidFill>
              <a:effectLst/>
              <a:uLnTx/>
              <a:uFillTx/>
              <a:latin typeface="+mn-lt"/>
              <a:ea typeface="+mn-ea"/>
              <a:cs typeface="+mn-cs"/>
            </a:rPr>
            <a:t>Treatment Tool</a:t>
          </a:r>
        </a:p>
        <a:p>
          <a:pPr marL="0" marR="0" lvl="0" indent="0" algn="r" defTabSz="914400" eaLnBrk="1" fontAlgn="auto" latinLnBrk="0" hangingPunct="1">
            <a:lnSpc>
              <a:spcPct val="100000"/>
            </a:lnSpc>
            <a:spcBef>
              <a:spcPts val="0"/>
            </a:spcBef>
            <a:spcAft>
              <a:spcPts val="0"/>
            </a:spcAft>
            <a:buClrTx/>
            <a:buSzTx/>
            <a:buFontTx/>
            <a:buNone/>
            <a:tabLst/>
            <a:defRPr/>
          </a:pPr>
          <a:r>
            <a:rPr kumimoji="0" lang="en-GB" sz="1200" b="0" i="0" u="none" strike="noStrike" kern="0" cap="none" spc="0" normalizeH="0" baseline="0" noProof="0">
              <a:ln>
                <a:noFill/>
              </a:ln>
              <a:solidFill>
                <a:srgbClr val="444444"/>
              </a:solidFill>
              <a:effectLst/>
              <a:uLnTx/>
              <a:uFillTx/>
              <a:latin typeface="+mn-lt"/>
              <a:ea typeface="+mn-ea"/>
              <a:cs typeface="+mn-cs"/>
            </a:rPr>
            <a:t>ISMS-FORM-06-3</a:t>
          </a:r>
        </a:p>
      </xdr:txBody>
    </xdr:sp>
    <xdr:clientData/>
  </xdr:twoCellAnchor>
  <xdr:twoCellAnchor editAs="oneCell">
    <xdr:from>
      <xdr:col>1</xdr:col>
      <xdr:colOff>0</xdr:colOff>
      <xdr:row>1</xdr:row>
      <xdr:rowOff>0</xdr:rowOff>
    </xdr:from>
    <xdr:to>
      <xdr:col>2</xdr:col>
      <xdr:colOff>1060925</xdr:colOff>
      <xdr:row>6</xdr:row>
      <xdr:rowOff>5490</xdr:rowOff>
    </xdr:to>
    <xdr:pic>
      <xdr:nvPicPr>
        <xdr:cNvPr id="5" name="Picture 4" descr="Auto Replac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8</xdr:col>
      <xdr:colOff>619125</xdr:colOff>
      <xdr:row>1</xdr:row>
      <xdr:rowOff>9524</xdr:rowOff>
    </xdr:from>
    <xdr:to>
      <xdr:col>10</xdr:col>
      <xdr:colOff>514350</xdr:colOff>
      <xdr:row>9</xdr:row>
      <xdr:rowOff>3174</xdr:rowOff>
    </xdr:to>
    <mc:AlternateContent xmlns:mc="http://schemas.openxmlformats.org/markup-compatibility/2006" xmlns:sle15="http://schemas.microsoft.com/office/drawing/2012/slicer">
      <mc:Choice Requires="sle15">
        <xdr:graphicFrame macro="">
          <xdr:nvGraphicFramePr>
            <xdr:cNvPr id="3" name="Risk Owner">
              <a:extLst>
                <a:ext uri="{FF2B5EF4-FFF2-40B4-BE49-F238E27FC236}">
                  <a16:creationId xmlns:a16="http://schemas.microsoft.com/office/drawing/2014/main" id="{00000000-0008-0000-0200-0000030000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isk Owner"/>
            </a:graphicData>
          </a:graphic>
        </xdr:graphicFrame>
      </mc:Choice>
      <mc:Fallback xmlns="">
        <xdr:sp macro="" textlink="">
          <xdr:nvSpPr>
            <xdr:cNvPr id="0" name=""/>
            <xdr:cNvSpPr>
              <a:spLocks noTextEdit="1"/>
            </xdr:cNvSpPr>
          </xdr:nvSpPr>
          <xdr:spPr>
            <a:xfrm>
              <a:off x="6448425" y="200024"/>
              <a:ext cx="1828800" cy="18002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10</xdr:col>
      <xdr:colOff>514350</xdr:colOff>
      <xdr:row>1</xdr:row>
      <xdr:rowOff>9524</xdr:rowOff>
    </xdr:from>
    <xdr:to>
      <xdr:col>12</xdr:col>
      <xdr:colOff>342900</xdr:colOff>
      <xdr:row>9</xdr:row>
      <xdr:rowOff>3174</xdr:rowOff>
    </xdr:to>
    <mc:AlternateContent xmlns:mc="http://schemas.openxmlformats.org/markup-compatibility/2006" xmlns:sle15="http://schemas.microsoft.com/office/drawing/2012/slicer">
      <mc:Choice Requires="sle15">
        <xdr:graphicFrame macro="">
          <xdr:nvGraphicFramePr>
            <xdr:cNvPr id="4" name="Risk level">
              <a:extLst>
                <a:ext uri="{FF2B5EF4-FFF2-40B4-BE49-F238E27FC236}">
                  <a16:creationId xmlns:a16="http://schemas.microsoft.com/office/drawing/2014/main" id="{00000000-0008-0000-0200-000004000000}"/>
                </a:ext>
              </a:extLst>
            </xdr:cNvPr>
            <xdr:cNvGraphicFramePr>
              <a:graphicFrameLocks noChangeAspect="1"/>
            </xdr:cNvGraphicFramePr>
          </xdr:nvGraphicFramePr>
          <xdr:xfrm>
            <a:off x="0" y="0"/>
            <a:ext cx="0" cy="0"/>
          </xdr:xfrm>
          <a:graphic>
            <a:graphicData uri="http://schemas.microsoft.com/office/drawing/2010/slicer">
              <sle:slicer xmlns:sle="http://schemas.microsoft.com/office/drawing/2010/slicer" name="Risk level"/>
            </a:graphicData>
          </a:graphic>
        </xdr:graphicFrame>
      </mc:Choice>
      <mc:Fallback xmlns="">
        <xdr:sp macro="" textlink="">
          <xdr:nvSpPr>
            <xdr:cNvPr id="0" name=""/>
            <xdr:cNvSpPr>
              <a:spLocks noTextEdit="1"/>
            </xdr:cNvSpPr>
          </xdr:nvSpPr>
          <xdr:spPr>
            <a:xfrm>
              <a:off x="8277225" y="200024"/>
              <a:ext cx="1828800" cy="18002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17</xdr:col>
      <xdr:colOff>971550</xdr:colOff>
      <xdr:row>1</xdr:row>
      <xdr:rowOff>9524</xdr:rowOff>
    </xdr:from>
    <xdr:to>
      <xdr:col>20</xdr:col>
      <xdr:colOff>28575</xdr:colOff>
      <xdr:row>9</xdr:row>
      <xdr:rowOff>3174</xdr:rowOff>
    </xdr:to>
    <mc:AlternateContent xmlns:mc="http://schemas.openxmlformats.org/markup-compatibility/2006" xmlns:sle15="http://schemas.microsoft.com/office/drawing/2012/slicer">
      <mc:Choice Requires="sle15">
        <xdr:graphicFrame macro="">
          <xdr:nvGraphicFramePr>
            <xdr:cNvPr id="14" name="Post-Treatment Risk Level">
              <a:extLst>
                <a:ext uri="{FF2B5EF4-FFF2-40B4-BE49-F238E27FC236}">
                  <a16:creationId xmlns:a16="http://schemas.microsoft.com/office/drawing/2014/main" id="{00000000-0008-0000-0200-00000E000000}"/>
                </a:ext>
              </a:extLst>
            </xdr:cNvPr>
            <xdr:cNvGraphicFramePr/>
          </xdr:nvGraphicFramePr>
          <xdr:xfrm>
            <a:off x="0" y="0"/>
            <a:ext cx="0" cy="0"/>
          </xdr:xfrm>
          <a:graphic>
            <a:graphicData uri="http://schemas.microsoft.com/office/drawing/2010/slicer">
              <sle:slicer xmlns:sle="http://schemas.microsoft.com/office/drawing/2010/slicer" name="Post-Treatment Risk Level"/>
            </a:graphicData>
          </a:graphic>
        </xdr:graphicFrame>
      </mc:Choice>
      <mc:Fallback xmlns="">
        <xdr:sp macro="" textlink="">
          <xdr:nvSpPr>
            <xdr:cNvPr id="0" name=""/>
            <xdr:cNvSpPr>
              <a:spLocks noTextEdit="1"/>
            </xdr:cNvSpPr>
          </xdr:nvSpPr>
          <xdr:spPr>
            <a:xfrm>
              <a:off x="15592425" y="200024"/>
              <a:ext cx="1828800" cy="1800225"/>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14</xdr:col>
      <xdr:colOff>495300</xdr:colOff>
      <xdr:row>1</xdr:row>
      <xdr:rowOff>9524</xdr:rowOff>
    </xdr:from>
    <xdr:to>
      <xdr:col>16</xdr:col>
      <xdr:colOff>19050</xdr:colOff>
      <xdr:row>9</xdr:row>
      <xdr:rowOff>0</xdr:rowOff>
    </xdr:to>
    <mc:AlternateContent xmlns:mc="http://schemas.openxmlformats.org/markup-compatibility/2006" xmlns:sle15="http://schemas.microsoft.com/office/drawing/2012/slicer">
      <mc:Choice Requires="sle15">
        <xdr:graphicFrame macro="">
          <xdr:nvGraphicFramePr>
            <xdr:cNvPr id="16" name="Treatment Action Owner 1">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microsoft.com/office/drawing/2010/slicer">
              <sle:slicer xmlns:sle="http://schemas.microsoft.com/office/drawing/2010/slicer" name="Treatment Action Owner 1"/>
            </a:graphicData>
          </a:graphic>
        </xdr:graphicFrame>
      </mc:Choice>
      <mc:Fallback xmlns="">
        <xdr:sp macro="" textlink="">
          <xdr:nvSpPr>
            <xdr:cNvPr id="0" name=""/>
            <xdr:cNvSpPr>
              <a:spLocks noTextEdit="1"/>
            </xdr:cNvSpPr>
          </xdr:nvSpPr>
          <xdr:spPr>
            <a:xfrm>
              <a:off x="11934825" y="200024"/>
              <a:ext cx="1828800" cy="180022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16</xdr:col>
      <xdr:colOff>19050</xdr:colOff>
      <xdr:row>1</xdr:row>
      <xdr:rowOff>9524</xdr:rowOff>
    </xdr:from>
    <xdr:to>
      <xdr:col>17</xdr:col>
      <xdr:colOff>971550</xdr:colOff>
      <xdr:row>9</xdr:row>
      <xdr:rowOff>0</xdr:rowOff>
    </xdr:to>
    <mc:AlternateContent xmlns:mc="http://schemas.openxmlformats.org/markup-compatibility/2006" xmlns:sle15="http://schemas.microsoft.com/office/drawing/2012/slicer">
      <mc:Choice Requires="sle15">
        <xdr:graphicFrame macro="">
          <xdr:nvGraphicFramePr>
            <xdr:cNvPr id="17" name="Treatment Action Status 1">
              <a:extLst>
                <a:ext uri="{FF2B5EF4-FFF2-40B4-BE49-F238E27FC236}">
                  <a16:creationId xmlns:a16="http://schemas.microsoft.com/office/drawing/2014/main" id="{00000000-0008-0000-0200-000011000000}"/>
                </a:ext>
              </a:extLst>
            </xdr:cNvPr>
            <xdr:cNvGraphicFramePr/>
          </xdr:nvGraphicFramePr>
          <xdr:xfrm>
            <a:off x="0" y="0"/>
            <a:ext cx="0" cy="0"/>
          </xdr:xfrm>
          <a:graphic>
            <a:graphicData uri="http://schemas.microsoft.com/office/drawing/2010/slicer">
              <sle:slicer xmlns:sle="http://schemas.microsoft.com/office/drawing/2010/slicer" name="Treatment Action Status 1"/>
            </a:graphicData>
          </a:graphic>
        </xdr:graphicFrame>
      </mc:Choice>
      <mc:Fallback xmlns="">
        <xdr:sp macro="" textlink="">
          <xdr:nvSpPr>
            <xdr:cNvPr id="0" name=""/>
            <xdr:cNvSpPr>
              <a:spLocks noTextEdit="1"/>
            </xdr:cNvSpPr>
          </xdr:nvSpPr>
          <xdr:spPr>
            <a:xfrm>
              <a:off x="13763625" y="200024"/>
              <a:ext cx="1828800" cy="1800226"/>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absolute">
    <xdr:from>
      <xdr:col>12</xdr:col>
      <xdr:colOff>342900</xdr:colOff>
      <xdr:row>1</xdr:row>
      <xdr:rowOff>0</xdr:rowOff>
    </xdr:from>
    <xdr:to>
      <xdr:col>14</xdr:col>
      <xdr:colOff>495300</xdr:colOff>
      <xdr:row>9</xdr:row>
      <xdr:rowOff>0</xdr:rowOff>
    </xdr:to>
    <mc:AlternateContent xmlns:mc="http://schemas.openxmlformats.org/markup-compatibility/2006" xmlns:sle15="http://schemas.microsoft.com/office/drawing/2012/slicer">
      <mc:Choice Requires="sle15">
        <xdr:graphicFrame macro="">
          <xdr:nvGraphicFramePr>
            <xdr:cNvPr id="20" name="Treatment option chosen 2">
              <a:extLst>
                <a:ext uri="{FF2B5EF4-FFF2-40B4-BE49-F238E27FC236}">
                  <a16:creationId xmlns:a16="http://schemas.microsoft.com/office/drawing/2014/main" id="{00000000-0008-0000-0200-000014000000}"/>
                </a:ext>
              </a:extLst>
            </xdr:cNvPr>
            <xdr:cNvGraphicFramePr/>
          </xdr:nvGraphicFramePr>
          <xdr:xfrm>
            <a:off x="0" y="0"/>
            <a:ext cx="0" cy="0"/>
          </xdr:xfrm>
          <a:graphic>
            <a:graphicData uri="http://schemas.microsoft.com/office/drawing/2010/slicer">
              <sle:slicer xmlns:sle="http://schemas.microsoft.com/office/drawing/2010/slicer" name="Treatment option chosen 2"/>
            </a:graphicData>
          </a:graphic>
        </xdr:graphicFrame>
      </mc:Choice>
      <mc:Fallback xmlns="">
        <xdr:sp macro="" textlink="">
          <xdr:nvSpPr>
            <xdr:cNvPr id="0" name=""/>
            <xdr:cNvSpPr>
              <a:spLocks noTextEdit="1"/>
            </xdr:cNvSpPr>
          </xdr:nvSpPr>
          <xdr:spPr>
            <a:xfrm>
              <a:off x="10106025" y="190500"/>
              <a:ext cx="1828800" cy="180975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PrintsWithSheet="0"/>
  </xdr:twoCellAnchor>
  <xdr:twoCellAnchor editAs="oneCell">
    <xdr:from>
      <xdr:col>1</xdr:col>
      <xdr:colOff>0</xdr:colOff>
      <xdr:row>1</xdr:row>
      <xdr:rowOff>0</xdr:rowOff>
    </xdr:from>
    <xdr:to>
      <xdr:col>3</xdr:col>
      <xdr:colOff>1384775</xdr:colOff>
      <xdr:row>6</xdr:row>
      <xdr:rowOff>5490</xdr:rowOff>
    </xdr:to>
    <xdr:pic>
      <xdr:nvPicPr>
        <xdr:cNvPr id="11" name="Picture 10" descr="Auto Replace">
          <a:extLst>
            <a:ext uri="{FF2B5EF4-FFF2-40B4-BE49-F238E27FC236}">
              <a16:creationId xmlns:a16="http://schemas.microsoft.com/office/drawing/2014/main" id="{00000000-0008-0000-0200-00000B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4</xdr:col>
      <xdr:colOff>204236</xdr:colOff>
      <xdr:row>6</xdr:row>
      <xdr:rowOff>15015</xdr:rowOff>
    </xdr:to>
    <xdr:pic>
      <xdr:nvPicPr>
        <xdr:cNvPr id="2" name="Picture 1" descr="Auto Replace">
          <a:extLst>
            <a:ext uri="{FF2B5EF4-FFF2-40B4-BE49-F238E27FC236}">
              <a16:creationId xmlns:a16="http://schemas.microsoft.com/office/drawing/2014/main" id="{6EB34E6A-FC37-49A9-BFA0-4792D3C9B45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0025" y="200025"/>
          <a:ext cx="2537861" cy="957990"/>
        </a:xfrm>
        <a:prstGeom prst="rect">
          <a:avLst/>
        </a:prstGeom>
      </xdr:spPr>
    </xdr:pic>
    <xdr:clientData/>
  </xdr:twoCellAnchor>
  <xdr:twoCellAnchor>
    <xdr:from>
      <xdr:col>0</xdr:col>
      <xdr:colOff>190499</xdr:colOff>
      <xdr:row>12</xdr:row>
      <xdr:rowOff>0</xdr:rowOff>
    </xdr:from>
    <xdr:to>
      <xdr:col>25</xdr:col>
      <xdr:colOff>572474</xdr:colOff>
      <xdr:row>30</xdr:row>
      <xdr:rowOff>171000</xdr:rowOff>
    </xdr:to>
    <xdr:grpSp>
      <xdr:nvGrpSpPr>
        <xdr:cNvPr id="17" name="Group 16">
          <a:extLst>
            <a:ext uri="{FF2B5EF4-FFF2-40B4-BE49-F238E27FC236}">
              <a16:creationId xmlns:a16="http://schemas.microsoft.com/office/drawing/2014/main" id="{AADA8BC4-90B2-472D-A533-31ACEB2E98C7}"/>
            </a:ext>
          </a:extLst>
        </xdr:cNvPr>
        <xdr:cNvGrpSpPr/>
      </xdr:nvGrpSpPr>
      <xdr:grpSpPr>
        <a:xfrm>
          <a:off x="190499" y="2419350"/>
          <a:ext cx="16317300" cy="3600000"/>
          <a:chOff x="190499" y="2638425"/>
          <a:chExt cx="16117275" cy="3600000"/>
        </a:xfrm>
      </xdr:grpSpPr>
      <xdr:graphicFrame macro="">
        <xdr:nvGraphicFramePr>
          <xdr:cNvPr id="15" name="Chart 14">
            <a:extLst>
              <a:ext uri="{FF2B5EF4-FFF2-40B4-BE49-F238E27FC236}">
                <a16:creationId xmlns:a16="http://schemas.microsoft.com/office/drawing/2014/main" id="{E41A4192-0A9D-4B65-ADB5-26BB8310DB7B}"/>
              </a:ext>
            </a:extLst>
          </xdr:cNvPr>
          <xdr:cNvGraphicFramePr>
            <a:graphicFrameLocks/>
          </xdr:cNvGraphicFramePr>
        </xdr:nvGraphicFramePr>
        <xdr:xfrm>
          <a:off x="190499" y="2638425"/>
          <a:ext cx="5076825" cy="36000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6" name="Chart 15">
            <a:extLst>
              <a:ext uri="{FF2B5EF4-FFF2-40B4-BE49-F238E27FC236}">
                <a16:creationId xmlns:a16="http://schemas.microsoft.com/office/drawing/2014/main" id="{C8DD7610-DD94-4A03-974D-4F14CD58F544}"/>
              </a:ext>
            </a:extLst>
          </xdr:cNvPr>
          <xdr:cNvGraphicFramePr>
            <a:graphicFrameLocks/>
          </xdr:cNvGraphicFramePr>
        </xdr:nvGraphicFramePr>
        <xdr:xfrm>
          <a:off x="5972174" y="2638425"/>
          <a:ext cx="10335600" cy="36000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xdr:col>
      <xdr:colOff>0</xdr:colOff>
      <xdr:row>35</xdr:row>
      <xdr:rowOff>0</xdr:rowOff>
    </xdr:from>
    <xdr:to>
      <xdr:col>6</xdr:col>
      <xdr:colOff>904050</xdr:colOff>
      <xdr:row>53</xdr:row>
      <xdr:rowOff>171000</xdr:rowOff>
    </xdr:to>
    <xdr:graphicFrame macro="">
      <xdr:nvGraphicFramePr>
        <xdr:cNvPr id="18" name="Chart 17">
          <a:extLst>
            <a:ext uri="{FF2B5EF4-FFF2-40B4-BE49-F238E27FC236}">
              <a16:creationId xmlns:a16="http://schemas.microsoft.com/office/drawing/2014/main" id="{D6D9B2F6-C980-4D83-99B0-9A2898F26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695324</xdr:colOff>
      <xdr:row>35</xdr:row>
      <xdr:rowOff>0</xdr:rowOff>
    </xdr:from>
    <xdr:to>
      <xdr:col>25</xdr:col>
      <xdr:colOff>572474</xdr:colOff>
      <xdr:row>53</xdr:row>
      <xdr:rowOff>171000</xdr:rowOff>
    </xdr:to>
    <xdr:graphicFrame macro="">
      <xdr:nvGraphicFramePr>
        <xdr:cNvPr id="19" name="Chart 18">
          <a:extLst>
            <a:ext uri="{FF2B5EF4-FFF2-40B4-BE49-F238E27FC236}">
              <a16:creationId xmlns:a16="http://schemas.microsoft.com/office/drawing/2014/main" id="{AE9D9CEA-5084-4E87-9CF9-0699C541B2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0</xdr:colOff>
      <xdr:row>72</xdr:row>
      <xdr:rowOff>0</xdr:rowOff>
    </xdr:from>
    <xdr:to>
      <xdr:col>25</xdr:col>
      <xdr:colOff>569925</xdr:colOff>
      <xdr:row>90</xdr:row>
      <xdr:rowOff>171000</xdr:rowOff>
    </xdr:to>
    <xdr:grpSp>
      <xdr:nvGrpSpPr>
        <xdr:cNvPr id="25" name="Group 24">
          <a:extLst>
            <a:ext uri="{FF2B5EF4-FFF2-40B4-BE49-F238E27FC236}">
              <a16:creationId xmlns:a16="http://schemas.microsoft.com/office/drawing/2014/main" id="{C6088B83-6AB7-4801-A2E4-093E045A7F94}"/>
            </a:ext>
          </a:extLst>
        </xdr:cNvPr>
        <xdr:cNvGrpSpPr/>
      </xdr:nvGrpSpPr>
      <xdr:grpSpPr>
        <a:xfrm>
          <a:off x="190500" y="16554450"/>
          <a:ext cx="16314750" cy="3600000"/>
          <a:chOff x="190500" y="17468850"/>
          <a:chExt cx="16114725" cy="3600000"/>
        </a:xfrm>
      </xdr:grpSpPr>
      <xdr:graphicFrame macro="">
        <xdr:nvGraphicFramePr>
          <xdr:cNvPr id="20" name="Chart 19">
            <a:extLst>
              <a:ext uri="{FF2B5EF4-FFF2-40B4-BE49-F238E27FC236}">
                <a16:creationId xmlns:a16="http://schemas.microsoft.com/office/drawing/2014/main" id="{76A4D09A-E880-498D-82C8-99E7F5BFE758}"/>
              </a:ext>
            </a:extLst>
          </xdr:cNvPr>
          <xdr:cNvGraphicFramePr>
            <a:graphicFrameLocks/>
          </xdr:cNvGraphicFramePr>
        </xdr:nvGraphicFramePr>
        <xdr:xfrm>
          <a:off x="190500" y="17468850"/>
          <a:ext cx="4320000" cy="3600000"/>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23" name="Chart 22">
            <a:extLst>
              <a:ext uri="{FF2B5EF4-FFF2-40B4-BE49-F238E27FC236}">
                <a16:creationId xmlns:a16="http://schemas.microsoft.com/office/drawing/2014/main" id="{70BB359A-D0CC-4407-A627-25BB9BC588BC}"/>
              </a:ext>
            </a:extLst>
          </xdr:cNvPr>
          <xdr:cNvGraphicFramePr>
            <a:graphicFrameLocks/>
          </xdr:cNvGraphicFramePr>
        </xdr:nvGraphicFramePr>
        <xdr:xfrm>
          <a:off x="4691063" y="17468850"/>
          <a:ext cx="4320000" cy="3600000"/>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4" name="Chart 23">
            <a:extLst>
              <a:ext uri="{FF2B5EF4-FFF2-40B4-BE49-F238E27FC236}">
                <a16:creationId xmlns:a16="http://schemas.microsoft.com/office/drawing/2014/main" id="{2329440E-6C66-4B61-868F-D650058EAF85}"/>
              </a:ext>
            </a:extLst>
          </xdr:cNvPr>
          <xdr:cNvGraphicFramePr>
            <a:graphicFrameLocks/>
          </xdr:cNvGraphicFramePr>
        </xdr:nvGraphicFramePr>
        <xdr:xfrm>
          <a:off x="9191625" y="17468850"/>
          <a:ext cx="7113600" cy="3600000"/>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2727800</xdr:colOff>
      <xdr:row>6</xdr:row>
      <xdr:rowOff>5490</xdr:rowOff>
    </xdr:to>
    <xdr:pic>
      <xdr:nvPicPr>
        <xdr:cNvPr id="3" name="Picture 2" descr="Auto Replace">
          <a:extLst>
            <a:ext uri="{FF2B5EF4-FFF2-40B4-BE49-F238E27FC236}">
              <a16:creationId xmlns:a16="http://schemas.microsoft.com/office/drawing/2014/main" id="{00000000-0008-0000-03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2</xdr:col>
      <xdr:colOff>2442050</xdr:colOff>
      <xdr:row>6</xdr:row>
      <xdr:rowOff>5490</xdr:rowOff>
    </xdr:to>
    <xdr:pic>
      <xdr:nvPicPr>
        <xdr:cNvPr id="4" name="Picture 3" descr="Auto Replace">
          <a:extLst>
            <a:ext uri="{FF2B5EF4-FFF2-40B4-BE49-F238E27FC236}">
              <a16:creationId xmlns:a16="http://schemas.microsoft.com/office/drawing/2014/main" id="{00000000-0008-0000-0400-000004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3</xdr:col>
      <xdr:colOff>860900</xdr:colOff>
      <xdr:row>6</xdr:row>
      <xdr:rowOff>5490</xdr:rowOff>
    </xdr:to>
    <xdr:pic>
      <xdr:nvPicPr>
        <xdr:cNvPr id="3" name="Picture 2" descr="Auto Replace">
          <a:extLst>
            <a:ext uri="{FF2B5EF4-FFF2-40B4-BE49-F238E27FC236}">
              <a16:creationId xmlns:a16="http://schemas.microsoft.com/office/drawing/2014/main" id="{00000000-0008-0000-0B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4</xdr:col>
      <xdr:colOff>51275</xdr:colOff>
      <xdr:row>6</xdr:row>
      <xdr:rowOff>5490</xdr:rowOff>
    </xdr:to>
    <xdr:pic>
      <xdr:nvPicPr>
        <xdr:cNvPr id="3" name="Picture 2" descr="Auto Replace">
          <a:extLst>
            <a:ext uri="{FF2B5EF4-FFF2-40B4-BE49-F238E27FC236}">
              <a16:creationId xmlns:a16="http://schemas.microsoft.com/office/drawing/2014/main" id="{00000000-0008-0000-0C00-00000300000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500" y="190500"/>
          <a:ext cx="2727800" cy="957990"/>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078.574296643521" createdVersion="6" refreshedVersion="6" minRefreshableVersion="3" recordCount="3" xr:uid="{24BCF65A-4BA1-4573-989E-EBE63294D3D9}">
  <cacheSource type="worksheet">
    <worksheetSource name="PreMitigationRisksByRiskLevel10"/>
  </cacheSource>
  <cacheFields count="3">
    <cacheField name="Risk level" numFmtId="0">
      <sharedItems count="3">
        <s v=" Low"/>
        <s v=" Medium"/>
        <s v=" High"/>
      </sharedItems>
    </cacheField>
    <cacheField name="Pre-treatment" numFmtId="0">
      <sharedItems containsSemiMixedTypes="0" containsString="0" containsNumber="1" containsInteger="1" minValue="0" maxValue="0"/>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078.574296874998" missingItemsLimit="0" createdVersion="6" refreshedVersion="6" minRefreshableVersion="3" recordCount="20" xr:uid="{D4528FD9-AD79-4888-BF3A-A1D44A9D054F}">
  <cacheSource type="worksheet">
    <worksheetSource name="RiskAssessment"/>
  </cacheSource>
  <cacheFields count="29">
    <cacheField name="Ref" numFmtId="0">
      <sharedItems containsSemiMixedTypes="0" containsString="0" containsNumber="1" containsInteger="1" minValue="1" maxValue="20"/>
    </cacheField>
    <cacheField name="Risk Summary" numFmtId="0">
      <sharedItems containsNonDate="0" containsString="0" containsBlank="1"/>
    </cacheField>
    <cacheField name="Risk Description" numFmtId="0">
      <sharedItems containsNonDate="0" containsString="0" containsBlank="1"/>
    </cacheField>
    <cacheField name="Risk Type" numFmtId="0">
      <sharedItems count="1">
        <s v="Select…"/>
      </sharedItems>
    </cacheField>
    <cacheField name="Risk Owner" numFmtId="0">
      <sharedItems containsNonDate="0" containsString="0" containsBlank="1" count="1">
        <m/>
      </sharedItems>
    </cacheField>
    <cacheField name="Existing Controls" numFmtId="0">
      <sharedItems containsNonDate="0" containsString="0" containsBlank="1"/>
    </cacheField>
    <cacheField name="Likelihood" numFmtId="0">
      <sharedItems/>
    </cacheField>
    <cacheField name="Likelihood Rationale" numFmtId="0">
      <sharedItems containsNonDate="0" containsString="0" containsBlank="1"/>
    </cacheField>
    <cacheField name="Impact" numFmtId="0">
      <sharedItems/>
    </cacheField>
    <cacheField name="Impact Rationale" numFmtId="0">
      <sharedItems containsNonDate="0" containsString="0" containsBlank="1"/>
    </cacheField>
    <cacheField name="Risk Score" numFmtId="0">
      <sharedItems/>
    </cacheField>
    <cacheField name="Risk Level" numFmtId="0">
      <sharedItems count="1">
        <s v="Calculated"/>
      </sharedItems>
    </cacheField>
    <cacheField name="Treatment Option Chosen" numFmtId="0">
      <sharedItems count="1">
        <s v="Select…"/>
      </sharedItems>
    </cacheField>
    <cacheField name="Proposed Treatment Action" numFmtId="0">
      <sharedItems containsNonDate="0" containsString="0" containsBlank="1"/>
    </cacheField>
    <cacheField name="Main Annex A Control Group" numFmtId="0">
      <sharedItems containsBlank="1"/>
    </cacheField>
    <cacheField name="Annex A Control Sub-group" numFmtId="0">
      <sharedItems containsBlank="1"/>
    </cacheField>
    <cacheField name="Annex A Control" numFmtId="0">
      <sharedItems containsBlank="1"/>
    </cacheField>
    <cacheField name="Treatment Cost" numFmtId="43">
      <sharedItems containsSemiMixedTypes="0" containsString="0" containsNumber="1" containsInteger="1" minValue="0" maxValue="0"/>
    </cacheField>
    <cacheField name="Treatment Action Owner" numFmtId="0">
      <sharedItems containsNonDate="0" containsString="0" containsBlank="1" count="1">
        <m/>
      </sharedItems>
    </cacheField>
    <cacheField name="Treatment Action Timescale" numFmtId="0">
      <sharedItems containsNonDate="0" containsString="0" containsBlank="1"/>
    </cacheField>
    <cacheField name="Treatment Action Progress" numFmtId="0">
      <sharedItems containsNonDate="0" containsString="0" containsBlank="1"/>
    </cacheField>
    <cacheField name="Treatment Action Status" numFmtId="0">
      <sharedItems/>
    </cacheField>
    <cacheField name="Post-Treatment Likelihood" numFmtId="0">
      <sharedItems/>
    </cacheField>
    <cacheField name="Post-Treatment Likelihood Rationale" numFmtId="0">
      <sharedItems containsNonDate="0" containsString="0" containsBlank="1"/>
    </cacheField>
    <cacheField name="Post- Treatment Impact" numFmtId="0">
      <sharedItems/>
    </cacheField>
    <cacheField name="Post-Treatment Impact Rationale" numFmtId="0">
      <sharedItems containsNonDate="0" containsString="0" containsBlank="1"/>
    </cacheField>
    <cacheField name="Post-Treatment Risk Score" numFmtId="0">
      <sharedItems/>
    </cacheField>
    <cacheField name="Post-Treatment Risk Level" numFmtId="0">
      <sharedItems/>
    </cacheField>
    <cacheField name="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078.574297222222" createdVersion="6" refreshedVersion="6" minRefreshableVersion="3" recordCount="3" xr:uid="{DEE2D96F-875B-47BD-A15F-8F45621780F9}">
  <cacheSource type="worksheet">
    <worksheetSource name="PreTreatmentRisksByRiskLevel"/>
  </cacheSource>
  <cacheFields count="2">
    <cacheField name="Risk level" numFmtId="0">
      <sharedItems count="3">
        <s v=" Low"/>
        <s v=" Medium"/>
        <s v=" High"/>
      </sharedItems>
    </cacheField>
    <cacheField name="Pre-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k Clifton" refreshedDate="44078.574297222222" createdVersion="6" refreshedVersion="6" minRefreshableVersion="3" recordCount="3" xr:uid="{4866C044-9A83-4F76-991A-D830CBE6FB4C}">
  <cacheSource type="worksheet">
    <worksheetSource name="RisksByRiskLevelPreandPostTreatment10"/>
  </cacheSource>
  <cacheFields count="2">
    <cacheField name="Risk level" numFmtId="0">
      <sharedItems count="3">
        <s v=" Low"/>
        <s v=" Medium"/>
        <s v=" High"/>
      </sharedItems>
    </cacheField>
    <cacheField name="Post-treatment" numFmtId="0">
      <sharedItems containsSemiMixedTypes="0" containsString="0" containsNumber="1" containsInteger="1" minValue="0" maxValue="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n v="0"/>
  </r>
  <r>
    <x v="1"/>
    <n v="0"/>
    <n v="0"/>
  </r>
  <r>
    <x v="2"/>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n v="1"/>
    <m/>
    <m/>
    <x v="0"/>
    <x v="0"/>
    <m/>
    <s v="Select…"/>
    <m/>
    <s v="Select…"/>
    <m/>
    <s v="Calculated"/>
    <x v="0"/>
    <x v="0"/>
    <m/>
    <s v="A.5 Information security policies"/>
    <s v="A.5.1 Management direction for information security"/>
    <s v="A.5.1.2 Review of the policies for information security"/>
    <n v="0"/>
    <x v="0"/>
    <m/>
    <m/>
    <s v="Select…"/>
    <s v="Select…"/>
    <m/>
    <s v="Select…"/>
    <m/>
    <s v="Calculated"/>
    <s v="Calculated"/>
    <m/>
  </r>
  <r>
    <n v="2"/>
    <m/>
    <m/>
    <x v="0"/>
    <x v="0"/>
    <m/>
    <s v="Select…"/>
    <m/>
    <s v="Select…"/>
    <m/>
    <s v="Calculated"/>
    <x v="0"/>
    <x v="0"/>
    <m/>
    <s v="A.6 Organization of information security"/>
    <s v="CLD.6.3 Relationship between cloud service customer and cloud service provider"/>
    <s v="CLD.6.3.1 Shared roles and responsibilities within a cloud computing environment"/>
    <n v="0"/>
    <x v="0"/>
    <m/>
    <m/>
    <s v="Select…"/>
    <s v="Select…"/>
    <m/>
    <s v="Select…"/>
    <m/>
    <s v="Calculated"/>
    <s v="Calculated"/>
    <m/>
  </r>
  <r>
    <n v="3"/>
    <m/>
    <m/>
    <x v="0"/>
    <x v="0"/>
    <m/>
    <s v="Select…"/>
    <m/>
    <s v="Select…"/>
    <m/>
    <s v="Calculated"/>
    <x v="0"/>
    <x v="0"/>
    <m/>
    <s v="A.7 Human resources security"/>
    <s v="A.7.2 During employment"/>
    <s v="A.7.2.2 Information security awareness, education and training"/>
    <n v="0"/>
    <x v="0"/>
    <m/>
    <m/>
    <s v="Select…"/>
    <s v="Select…"/>
    <m/>
    <s v="Select…"/>
    <m/>
    <s v="Calculated"/>
    <s v="Calculated"/>
    <m/>
  </r>
  <r>
    <n v="4"/>
    <m/>
    <m/>
    <x v="0"/>
    <x v="0"/>
    <m/>
    <s v="Select…"/>
    <m/>
    <s v="Select…"/>
    <m/>
    <s v="Calculated"/>
    <x v="0"/>
    <x v="0"/>
    <m/>
    <s v="A.8 Asset management"/>
    <s v="A.8.3 Media Handling"/>
    <s v="A.8.3.2 Disposal of media"/>
    <n v="0"/>
    <x v="0"/>
    <m/>
    <m/>
    <s v="Select…"/>
    <s v="Select…"/>
    <m/>
    <s v="Select…"/>
    <m/>
    <s v="Calculated"/>
    <s v="Calculated"/>
    <m/>
  </r>
  <r>
    <n v="5"/>
    <m/>
    <m/>
    <x v="0"/>
    <x v="0"/>
    <m/>
    <s v="Select…"/>
    <m/>
    <s v="Select…"/>
    <m/>
    <s v="Calculated"/>
    <x v="0"/>
    <x v="0"/>
    <m/>
    <s v="A.9 Access control"/>
    <s v="A.9.4 System and application access control"/>
    <s v="A.9.4.5 Access control to program source code"/>
    <n v="0"/>
    <x v="0"/>
    <m/>
    <m/>
    <s v="Select…"/>
    <s v="Select…"/>
    <m/>
    <s v="Select…"/>
    <m/>
    <s v="Calculated"/>
    <s v="Calculated"/>
    <m/>
  </r>
  <r>
    <n v="6"/>
    <m/>
    <m/>
    <x v="0"/>
    <x v="0"/>
    <m/>
    <s v="Select…"/>
    <m/>
    <s v="Select…"/>
    <m/>
    <s v="Calculated"/>
    <x v="0"/>
    <x v="0"/>
    <m/>
    <s v="A.10 Cryptography"/>
    <s v="A.10.1 Cryptographic controls"/>
    <s v="A.10.1.2 Key management"/>
    <n v="0"/>
    <x v="0"/>
    <m/>
    <m/>
    <s v="Select…"/>
    <s v="Select…"/>
    <m/>
    <s v="Select…"/>
    <m/>
    <s v="Calculated"/>
    <s v="Calculated"/>
    <m/>
  </r>
  <r>
    <n v="7"/>
    <m/>
    <m/>
    <x v="0"/>
    <x v="0"/>
    <m/>
    <s v="Select…"/>
    <m/>
    <s v="Select…"/>
    <m/>
    <s v="Calculated"/>
    <x v="0"/>
    <x v="0"/>
    <m/>
    <s v="A.11 Physical and environmental security"/>
    <s v="A.11.2 Equipment"/>
    <s v="A.11.2.4 Equipment maintenance"/>
    <n v="0"/>
    <x v="0"/>
    <m/>
    <m/>
    <s v="Select…"/>
    <s v="Select…"/>
    <m/>
    <s v="Select…"/>
    <m/>
    <s v="Calculated"/>
    <s v="Calculated"/>
    <m/>
  </r>
  <r>
    <n v="8"/>
    <m/>
    <m/>
    <x v="0"/>
    <x v="0"/>
    <m/>
    <s v="Select…"/>
    <m/>
    <s v="Select…"/>
    <m/>
    <s v="Calculated"/>
    <x v="0"/>
    <x v="0"/>
    <m/>
    <s v="A.12 Operations security"/>
    <s v="A.12.4 Logging and monitoring"/>
    <s v="A.12.4.4 Clock synchronisation"/>
    <n v="0"/>
    <x v="0"/>
    <m/>
    <m/>
    <s v="Select…"/>
    <s v="Select…"/>
    <m/>
    <s v="Select…"/>
    <m/>
    <s v="Calculated"/>
    <s v="Calculated"/>
    <m/>
  </r>
  <r>
    <n v="9"/>
    <m/>
    <m/>
    <x v="0"/>
    <x v="0"/>
    <m/>
    <s v="Select…"/>
    <m/>
    <s v="Select…"/>
    <m/>
    <s v="Calculated"/>
    <x v="0"/>
    <x v="0"/>
    <m/>
    <s v="A.12 Operations security"/>
    <s v="A.12.6 Technical vulnerability management"/>
    <s v="A.12.6.2 Restrictions on software installation"/>
    <n v="0"/>
    <x v="0"/>
    <m/>
    <m/>
    <s v="Select…"/>
    <s v="Select…"/>
    <m/>
    <s v="Select…"/>
    <m/>
    <s v="Calculated"/>
    <s v="Calculated"/>
    <m/>
  </r>
  <r>
    <n v="10"/>
    <m/>
    <m/>
    <x v="0"/>
    <x v="0"/>
    <m/>
    <s v="Select…"/>
    <m/>
    <s v="Select…"/>
    <m/>
    <s v="Calculated"/>
    <x v="0"/>
    <x v="0"/>
    <m/>
    <s v="A.13 Communications security"/>
    <s v="A.13.2 Information transfer"/>
    <s v="A.13.2.4 Confidentiality or nondisclosure agreements"/>
    <n v="0"/>
    <x v="0"/>
    <m/>
    <m/>
    <s v="Select…"/>
    <s v="Select…"/>
    <m/>
    <s v="Select…"/>
    <m/>
    <s v="Calculated"/>
    <s v="Calculated"/>
    <m/>
  </r>
  <r>
    <n v="11"/>
    <m/>
    <m/>
    <x v="0"/>
    <x v="0"/>
    <m/>
    <s v="Select…"/>
    <m/>
    <s v="Select…"/>
    <m/>
    <s v="Calculated"/>
    <x v="0"/>
    <x v="0"/>
    <m/>
    <s v="A.14 System acquisition development and maintenance"/>
    <s v="A.14.2 Security in development and support processes"/>
    <s v="A.14.2.6 Secure development environment"/>
    <n v="0"/>
    <x v="0"/>
    <m/>
    <m/>
    <s v="Select…"/>
    <s v="Select…"/>
    <m/>
    <s v="Select…"/>
    <m/>
    <s v="Calculated"/>
    <s v="Calculated"/>
    <m/>
  </r>
  <r>
    <n v="12"/>
    <m/>
    <m/>
    <x v="0"/>
    <x v="0"/>
    <m/>
    <s v="Select…"/>
    <m/>
    <s v="Select…"/>
    <m/>
    <s v="Calculated"/>
    <x v="0"/>
    <x v="0"/>
    <m/>
    <s v="A.15 Supplier relationships"/>
    <s v="A.15.2 Supplier service delivery management"/>
    <s v="A.15.2.2 Managing changes to supplier services"/>
    <n v="0"/>
    <x v="0"/>
    <m/>
    <m/>
    <s v="Select…"/>
    <s v="Select…"/>
    <m/>
    <s v="Select…"/>
    <m/>
    <s v="Calculated"/>
    <s v="Calculated"/>
    <m/>
  </r>
  <r>
    <n v="13"/>
    <m/>
    <m/>
    <x v="0"/>
    <x v="0"/>
    <m/>
    <s v="Select…"/>
    <m/>
    <s v="Select…"/>
    <m/>
    <s v="Calculated"/>
    <x v="0"/>
    <x v="0"/>
    <m/>
    <s v="A.16 Information security incident management"/>
    <s v="A.16.1 Management of information security incidents and improvements"/>
    <s v="A.16.1.6 Learning from information security incidents"/>
    <n v="0"/>
    <x v="0"/>
    <m/>
    <m/>
    <s v="Select…"/>
    <s v="Select…"/>
    <m/>
    <s v="Select…"/>
    <m/>
    <s v="Calculated"/>
    <s v="Calculated"/>
    <m/>
  </r>
  <r>
    <n v="14"/>
    <m/>
    <m/>
    <x v="0"/>
    <x v="0"/>
    <m/>
    <s v="Select…"/>
    <m/>
    <s v="Select…"/>
    <m/>
    <s v="Calculated"/>
    <x v="0"/>
    <x v="0"/>
    <m/>
    <s v="A.17 Information security aspects of business continuity management"/>
    <s v="A.17.2 Redundancies"/>
    <s v="A.17.2.1 Availability of information processing facilities"/>
    <n v="0"/>
    <x v="0"/>
    <m/>
    <m/>
    <s v="Select…"/>
    <s v="Select…"/>
    <m/>
    <s v="Select…"/>
    <m/>
    <s v="Calculated"/>
    <s v="Calculated"/>
    <m/>
  </r>
  <r>
    <n v="15"/>
    <m/>
    <m/>
    <x v="0"/>
    <x v="0"/>
    <m/>
    <s v="Select…"/>
    <m/>
    <s v="Select…"/>
    <m/>
    <s v="Calculated"/>
    <x v="0"/>
    <x v="0"/>
    <m/>
    <s v="A.18 Compliance"/>
    <s v="A.18.2 Information security reviews"/>
    <s v="A.18.2.2 Compliance with security policies and standards"/>
    <n v="0"/>
    <x v="0"/>
    <m/>
    <m/>
    <s v="Select…"/>
    <s v="Select…"/>
    <m/>
    <s v="Select…"/>
    <m/>
    <s v="Calculated"/>
    <s v="Calculated"/>
    <m/>
  </r>
  <r>
    <n v="16"/>
    <m/>
    <m/>
    <x v="0"/>
    <x v="0"/>
    <m/>
    <s v="Select…"/>
    <m/>
    <s v="Select…"/>
    <m/>
    <s v="Calculated"/>
    <x v="0"/>
    <x v="0"/>
    <m/>
    <m/>
    <m/>
    <m/>
    <n v="0"/>
    <x v="0"/>
    <m/>
    <m/>
    <s v="Select…"/>
    <s v="Select…"/>
    <m/>
    <s v="Select…"/>
    <m/>
    <s v="Calculated"/>
    <s v="Calculated"/>
    <m/>
  </r>
  <r>
    <n v="17"/>
    <m/>
    <m/>
    <x v="0"/>
    <x v="0"/>
    <m/>
    <s v="Select…"/>
    <m/>
    <s v="Select…"/>
    <m/>
    <s v="Calculated"/>
    <x v="0"/>
    <x v="0"/>
    <m/>
    <m/>
    <m/>
    <m/>
    <n v="0"/>
    <x v="0"/>
    <m/>
    <m/>
    <s v="Select…"/>
    <s v="Select…"/>
    <m/>
    <s v="Select…"/>
    <m/>
    <s v="Calculated"/>
    <s v="Calculated"/>
    <m/>
  </r>
  <r>
    <n v="18"/>
    <m/>
    <m/>
    <x v="0"/>
    <x v="0"/>
    <m/>
    <s v="Select…"/>
    <m/>
    <s v="Select…"/>
    <m/>
    <s v="Calculated"/>
    <x v="0"/>
    <x v="0"/>
    <m/>
    <m/>
    <m/>
    <m/>
    <n v="0"/>
    <x v="0"/>
    <m/>
    <m/>
    <s v="Select…"/>
    <s v="Select…"/>
    <m/>
    <s v="Select…"/>
    <m/>
    <s v="Calculated"/>
    <s v="Calculated"/>
    <m/>
  </r>
  <r>
    <n v="19"/>
    <m/>
    <m/>
    <x v="0"/>
    <x v="0"/>
    <m/>
    <s v="Select…"/>
    <m/>
    <s v="Select…"/>
    <m/>
    <s v="Calculated"/>
    <x v="0"/>
    <x v="0"/>
    <m/>
    <m/>
    <m/>
    <m/>
    <n v="0"/>
    <x v="0"/>
    <m/>
    <m/>
    <s v="Select…"/>
    <s v="Select…"/>
    <m/>
    <s v="Select…"/>
    <m/>
    <s v="Calculated"/>
    <s v="Calculated"/>
    <m/>
  </r>
  <r>
    <n v="20"/>
    <m/>
    <m/>
    <x v="0"/>
    <x v="0"/>
    <m/>
    <s v="Select…"/>
    <m/>
    <s v="Select…"/>
    <m/>
    <s v="Calculated"/>
    <x v="0"/>
    <x v="0"/>
    <m/>
    <m/>
    <m/>
    <m/>
    <n v="0"/>
    <x v="0"/>
    <m/>
    <m/>
    <s v="Select…"/>
    <s v="Select…"/>
    <m/>
    <s v="Select…"/>
    <m/>
    <s v="Calculated"/>
    <s v="Calculated"/>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0"/>
  </r>
  <r>
    <x v="1"/>
    <n v="0"/>
  </r>
  <r>
    <x v="2"/>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2254CD0-A79C-4153-9D7E-A34A421295CD}" name="PreTreatmentRisks" cacheId="16"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8">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re-treatment " fld="1" baseField="0" baseItem="0"/>
  </dataFields>
  <formats count="6">
    <format dxfId="126">
      <pivotArea field="0" type="button" dataOnly="0" labelOnly="1" outline="0" axis="axisRow" fieldPosition="0"/>
    </format>
    <format dxfId="125">
      <pivotArea dataOnly="0" labelOnly="1" outline="0" axis="axisValues" fieldPosition="0"/>
    </format>
    <format dxfId="124">
      <pivotArea field="0" type="button" dataOnly="0" labelOnly="1" outline="0" axis="axisRow" fieldPosition="0"/>
    </format>
    <format dxfId="123">
      <pivotArea dataOnly="0" labelOnly="1" outline="0" axis="axisValues" fieldPosition="0"/>
    </format>
    <format dxfId="122">
      <pivotArea field="0" type="button" dataOnly="0" labelOnly="1" outline="0" axis="axisRow" fieldPosition="0"/>
    </format>
    <format dxfId="121">
      <pivotArea dataOnly="0" labelOnly="1" outline="0" axis="axisValues" fieldPosition="0"/>
    </format>
  </formats>
  <chartFormats count="4">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FACE55E-8D9E-4032-8BD7-F4C9EAE853C6}" name="PreTreatmentRisksByOwner" cacheId="15" applyNumberFormats="0" applyBorderFormats="0" applyFontFormats="0" applyPatternFormats="0" applyAlignmentFormats="0" applyWidthHeightFormats="1" dataCaption="Values" updatedVersion="6" minRefreshableVersion="3" showDrill="0" useAutoFormatting="1" rowGrandTotals="0" colGrandTotals="0" itemPrintTitles="1" createdVersion="6" indent="0" compact="0" compactData="0" multipleFieldFilters="0" chartFormat="7">
  <location ref="B6:D7" firstHeaderRow="1" firstDataRow="1" firstDataCol="2"/>
  <pivotFields count="29">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2">
    <field x="11"/>
    <field x="4"/>
  </rowFields>
  <rowItems count="1">
    <i>
      <x/>
      <x/>
    </i>
  </rowItems>
  <colItems count="1">
    <i/>
  </colItems>
  <dataFields count="1">
    <dataField name="Risk Level " fld="11" subtotal="count" baseField="0" baseItem="0"/>
  </dataFields>
  <formats count="6">
    <format dxfId="118">
      <pivotArea field="11" type="button" dataOnly="0" labelOnly="1" outline="0" axis="axisRow" fieldPosition="0"/>
    </format>
    <format dxfId="117">
      <pivotArea field="4" type="button" dataOnly="0" labelOnly="1" outline="0" axis="axisRow" fieldPosition="1"/>
    </format>
    <format dxfId="116">
      <pivotArea dataOnly="0" labelOnly="1" outline="0" axis="axisValues" fieldPosition="0"/>
    </format>
    <format dxfId="115">
      <pivotArea field="11" type="button" dataOnly="0" labelOnly="1" outline="0" axis="axisRow" fieldPosition="0"/>
    </format>
    <format dxfId="114">
      <pivotArea field="4" type="button" dataOnly="0" labelOnly="1" outline="0" axis="axisRow" fieldPosition="1"/>
    </format>
    <format dxfId="113">
      <pivotArea dataOnly="0" labelOnly="1" outline="0" axis="axisValues" fieldPosition="0"/>
    </format>
  </formats>
  <chartFormats count="3">
    <chartFormat chart="6" format="50" series="1">
      <pivotArea type="data" outline="0" fieldPosition="0">
        <references count="1">
          <reference field="4294967294" count="1" selected="0">
            <x v="0"/>
          </reference>
        </references>
      </pivotArea>
    </chartFormat>
    <chartFormat chart="6" format="58">
      <pivotArea type="data" outline="0" fieldPosition="0">
        <references count="2">
          <reference field="4294967294" count="1" selected="0">
            <x v="0"/>
          </reference>
          <reference field="11" count="1" selected="0">
            <x v="0"/>
          </reference>
        </references>
      </pivotArea>
    </chartFormat>
    <chartFormat chart="6" format="59">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5AE504-A48F-4AA2-88A6-8592D154440B}" name="PostTreatmentRisks" cacheId="17"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4">
  <location ref="B12:C15" firstHeaderRow="1" firstDataRow="1" firstDataCol="1"/>
  <pivotFields count="2">
    <pivotField axis="axisRow" compact="0" outline="0" showAll="0" defaultSubtotal="0">
      <items count="3">
        <item x="0"/>
        <item x="1"/>
        <item x="2"/>
      </items>
    </pivotField>
    <pivotField dataField="1" compact="0" outline="0" showAll="0" defaultSubtotal="0"/>
  </pivotFields>
  <rowFields count="1">
    <field x="0"/>
  </rowFields>
  <rowItems count="3">
    <i>
      <x/>
    </i>
    <i>
      <x v="1"/>
    </i>
    <i>
      <x v="2"/>
    </i>
  </rowItems>
  <colItems count="1">
    <i/>
  </colItems>
  <dataFields count="1">
    <dataField name="Post-treatment " fld="1" baseField="0" baseItem="0"/>
  </dataFields>
  <formats count="4">
    <format dxfId="112">
      <pivotArea field="0" type="button" dataOnly="0" labelOnly="1" outline="0" axis="axisRow" fieldPosition="0"/>
    </format>
    <format dxfId="111">
      <pivotArea dataOnly="0" labelOnly="1" outline="0" axis="axisValues" fieldPosition="0"/>
    </format>
    <format dxfId="110">
      <pivotArea field="0" type="button" dataOnly="0" labelOnly="1" outline="0" axis="axisRow" fieldPosition="0"/>
    </format>
    <format dxfId="109">
      <pivotArea dataOnly="0" labelOnly="1" outline="0" axis="axisValues" fieldPosition="0"/>
    </format>
  </formats>
  <chartFormats count="4">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0" count="1" selected="0">
            <x v="0"/>
          </reference>
        </references>
      </pivotArea>
    </chartFormat>
    <chartFormat chart="3" format="10">
      <pivotArea type="data" outline="0" fieldPosition="0">
        <references count="2">
          <reference field="4294967294" count="1" selected="0">
            <x v="0"/>
          </reference>
          <reference field="0" count="1" selected="0">
            <x v="1"/>
          </reference>
        </references>
      </pivotArea>
    </chartFormat>
    <chartFormat chart="3"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98E5981-7780-4152-B8A0-5BA3F8B9B204}" name="RisksByRiskLevelPre&amp;PostTreatment" cacheId="14"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12:D15" firstHeaderRow="0" firstDataRow="1" firstDataCol="1"/>
  <pivotFields count="3">
    <pivotField axis="axisRow" compact="0" outline="0" showAll="0" defaultSubtotal="0">
      <items count="3">
        <item x="0"/>
        <item x="1"/>
        <item x="2"/>
      </items>
    </pivotField>
    <pivotField dataField="1" compact="0" outline="0" showAll="0" defaultSubtotal="0"/>
    <pivotField dataField="1" compact="0" outline="0" showAll="0" defaultSubtotal="0"/>
  </pivotFields>
  <rowFields count="1">
    <field x="0"/>
  </rowFields>
  <rowItems count="3">
    <i>
      <x/>
    </i>
    <i>
      <x v="1"/>
    </i>
    <i>
      <x v="2"/>
    </i>
  </rowItems>
  <colFields count="1">
    <field x="-2"/>
  </colFields>
  <colItems count="2">
    <i>
      <x/>
    </i>
    <i i="1">
      <x v="1"/>
    </i>
  </colItems>
  <dataFields count="2">
    <dataField name="Pre-treatment " fld="1" baseField="0" baseItem="0"/>
    <dataField name="Post-treatment " fld="2" baseField="0" baseItem="0"/>
  </dataFields>
  <formats count="4">
    <format dxfId="106">
      <pivotArea field="0" type="button" dataOnly="0" labelOnly="1" outline="0" axis="axisRow" fieldPosition="0"/>
    </format>
    <format dxfId="105">
      <pivotArea dataOnly="0" labelOnly="1" outline="0" fieldPosition="0">
        <references count="1">
          <reference field="4294967294" count="2">
            <x v="0"/>
            <x v="1"/>
          </reference>
        </references>
      </pivotArea>
    </format>
    <format dxfId="104">
      <pivotArea field="0" type="button" dataOnly="0" labelOnly="1" outline="0" axis="axisRow" fieldPosition="0"/>
    </format>
    <format dxfId="103">
      <pivotArea dataOnly="0" labelOnly="1" outline="0" fieldPosition="0">
        <references count="1">
          <reference field="4294967294" count="2">
            <x v="0"/>
            <x v="1"/>
          </reference>
        </references>
      </pivotArea>
    </format>
  </formats>
  <chartFormats count="2">
    <chartFormat chart="2" format="5" series="1">
      <pivotArea type="data" outline="0" fieldPosition="0">
        <references count="1">
          <reference field="4294967294" count="1" selected="0">
            <x v="0"/>
          </reference>
        </references>
      </pivotArea>
    </chartFormat>
    <chartFormat chart="2" format="6"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6067F7-6D27-48FC-8D4C-69E4742A016E}" name="RisksByTreatmentOption"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3">
  <location ref="B6:C7" firstHeaderRow="1" firstDataRow="1" firstDataCol="1"/>
  <pivotFields count="29">
    <pivotField compact="0" outline="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2"/>
  </rowFields>
  <rowItems count="1">
    <i>
      <x/>
    </i>
  </rowItems>
  <colItems count="1">
    <i/>
  </colItems>
  <dataFields count="1">
    <dataField name="Count of Risk Summary" fld="1" subtotal="count" baseField="0" baseItem="0"/>
  </dataFields>
  <formats count="4">
    <format dxfId="99">
      <pivotArea field="12" type="button" dataOnly="0" labelOnly="1" outline="0" axis="axisRow" fieldPosition="0"/>
    </format>
    <format dxfId="98">
      <pivotArea dataOnly="0" labelOnly="1" outline="0" axis="axisValues" fieldPosition="0"/>
    </format>
    <format dxfId="97">
      <pivotArea field="12" type="button" dataOnly="0" labelOnly="1" outline="0" axis="axisRow" fieldPosition="0"/>
    </format>
    <format dxfId="96">
      <pivotArea dataOnly="0" labelOnly="1" outline="0" axis="axisValues" fieldPosition="0"/>
    </format>
  </formats>
  <chartFormats count="3">
    <chartFormat chart="2" format="12"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12" count="1" selected="0">
            <x v="0"/>
          </reference>
        </references>
      </pivotArea>
    </chartFormat>
    <chartFormat chart="2" format="1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D2D984-D089-4D43-84DD-2CCEF17FD514}" name="TreatmentCosts"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7" firstHeaderRow="1" firstDataRow="1" firstDataCol="1"/>
  <pivotFields count="2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Row" compact="0" outline="0" showAll="0" defaultSubtotal="0">
      <items count="1">
        <item x="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dataField="1"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1"/>
  </rowFields>
  <rowItems count="1">
    <i>
      <x/>
    </i>
  </rowItems>
  <colItems count="1">
    <i/>
  </colItems>
  <dataFields count="1">
    <dataField name="Sum of Treatment Cost" fld="17" baseField="11" baseItem="0" numFmtId="3"/>
  </dataFields>
  <formats count="5">
    <format dxfId="95">
      <pivotArea field="11" type="button" dataOnly="0" labelOnly="1" outline="0" axis="axisRow" fieldPosition="0"/>
    </format>
    <format dxfId="94">
      <pivotArea dataOnly="0" labelOnly="1" outline="0" axis="axisValues" fieldPosition="0"/>
    </format>
    <format dxfId="93">
      <pivotArea field="11" type="button" dataOnly="0" labelOnly="1" outline="0" axis="axisRow" fieldPosition="0"/>
    </format>
    <format dxfId="92">
      <pivotArea dataOnly="0" labelOnly="1" outline="0" axis="axisValues" fieldPosition="0"/>
    </format>
    <format dxfId="91">
      <pivotArea outline="0" fieldPosition="0">
        <references count="1">
          <reference field="4294967294" count="1">
            <x v="0"/>
          </reference>
        </references>
      </pivotArea>
    </format>
  </formats>
  <chartFormats count="2">
    <chartFormat chart="5" format="2" series="1">
      <pivotArea type="data" outline="0" fieldPosition="0">
        <references count="1">
          <reference field="4294967294" count="1" selected="0">
            <x v="0"/>
          </reference>
        </references>
      </pivotArea>
    </chartFormat>
    <chartFormat chart="5" format="6">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F93C23E-6635-489C-BA68-88DD7950879F}" name="TreatmentActionOwner" cacheId="15" applyNumberFormats="0" applyBorderFormats="0" applyFontFormats="0" applyPatternFormats="0" applyAlignmentFormats="0" applyWidthHeightFormats="1" dataCaption="Values" updatedVersion="6" minRefreshableVersion="3" useAutoFormatting="1" rowGrandTotals="0" colGrandTotals="0" itemPrintTitles="1" createdVersion="6" indent="0" compact="0" compactData="0" multipleFieldFilters="0" chartFormat="6">
  <location ref="B6:C8" firstHeaderRow="1" firstDataRow="2" firstDataCol="1"/>
  <pivotFields count="29">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1">
        <item x="0"/>
      </items>
    </pivotField>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howAll="0" defaultSubtotal="0"/>
    <pivotField axis="axisRow" dataField="1" compact="0" outline="0" showAll="0" defaultSubtotal="0">
      <items count="1">
        <item x="0"/>
      </items>
    </pivotField>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s>
  <rowFields count="1">
    <field x="18"/>
  </rowFields>
  <rowItems count="1">
    <i>
      <x/>
    </i>
  </rowItems>
  <colFields count="1">
    <field x="11"/>
  </colFields>
  <colItems count="1">
    <i>
      <x/>
    </i>
  </colItems>
  <dataFields count="1">
    <dataField name="Count of Treatment Action Owner" fld="18" subtotal="count" baseField="0" baseItem="0"/>
  </dataFields>
  <formats count="10">
    <format dxfId="90">
      <pivotArea type="origin" dataOnly="0" labelOnly="1" outline="0" fieldPosition="0"/>
    </format>
    <format dxfId="89">
      <pivotArea field="11" type="button" dataOnly="0" labelOnly="1" outline="0" axis="axisCol" fieldPosition="0"/>
    </format>
    <format dxfId="88">
      <pivotArea type="topRight" dataOnly="0" labelOnly="1" outline="0" fieldPosition="0"/>
    </format>
    <format dxfId="87">
      <pivotArea field="18" type="button" dataOnly="0" labelOnly="1" outline="0" axis="axisRow" fieldPosition="0"/>
    </format>
    <format dxfId="86">
      <pivotArea dataOnly="0" labelOnly="1" outline="0" fieldPosition="0">
        <references count="1">
          <reference field="11" count="0"/>
        </references>
      </pivotArea>
    </format>
    <format dxfId="85">
      <pivotArea type="origin" dataOnly="0" labelOnly="1" outline="0" fieldPosition="0"/>
    </format>
    <format dxfId="84">
      <pivotArea field="11" type="button" dataOnly="0" labelOnly="1" outline="0" axis="axisCol" fieldPosition="0"/>
    </format>
    <format dxfId="83">
      <pivotArea type="topRight" dataOnly="0" labelOnly="1" outline="0" fieldPosition="0"/>
    </format>
    <format dxfId="82">
      <pivotArea field="18" type="button" dataOnly="0" labelOnly="1" outline="0" axis="axisRow" fieldPosition="0"/>
    </format>
    <format dxfId="81">
      <pivotArea dataOnly="0" labelOnly="1" outline="0" fieldPosition="0">
        <references count="1">
          <reference field="11" count="0"/>
        </references>
      </pivotArea>
    </format>
  </formats>
  <chartFormats count="2">
    <chartFormat chart="5" format="11" series="1">
      <pivotArea type="data" outline="0" fieldPosition="0">
        <references count="2">
          <reference field="4294967294" count="1" selected="0">
            <x v="0"/>
          </reference>
          <reference field="11" count="1" selected="0">
            <x v="0"/>
          </reference>
        </references>
      </pivotArea>
    </chartFormat>
    <chartFormat chart="5"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493C2A2-B932-4927-9362-69868D20801B}" name="PivotTable16"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B8:D11" firstHeaderRow="1" firstDataRow="2" firstDataCol="1"/>
  <pivotFields count="29">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2">
    <i>
      <x/>
    </i>
    <i t="grand">
      <x/>
    </i>
  </rowItems>
  <colFields count="1">
    <field x="11"/>
  </colFields>
  <colItems count="2">
    <i>
      <x/>
    </i>
    <i t="grand">
      <x/>
    </i>
  </colItems>
  <dataFields count="1">
    <dataField name="Count of Risk Level" fld="11" subtotal="count" baseField="0" baseItem="0"/>
  </dataFields>
  <formats count="23">
    <format dxfId="25">
      <pivotArea type="origin" dataOnly="0" labelOnly="1" outline="0" fieldPosition="0"/>
    </format>
    <format dxfId="24">
      <pivotArea field="11" type="button" dataOnly="0" labelOnly="1" outline="0" axis="axisCol" fieldPosition="0"/>
    </format>
    <format dxfId="23">
      <pivotArea type="topRight" dataOnly="0" labelOnly="1" outline="0" fieldPosition="0"/>
    </format>
    <format dxfId="22">
      <pivotArea field="3" type="button" dataOnly="0" labelOnly="1" outline="0" axis="axisRow" fieldPosition="0"/>
    </format>
    <format dxfId="21">
      <pivotArea dataOnly="0" labelOnly="1" fieldPosition="0">
        <references count="1">
          <reference field="11" count="0"/>
        </references>
      </pivotArea>
    </format>
    <format dxfId="20">
      <pivotArea dataOnly="0" labelOnly="1" grandCol="1" outline="0" fieldPosition="0"/>
    </format>
    <format dxfId="19">
      <pivotArea type="origin" dataOnly="0" labelOnly="1" outline="0" fieldPosition="0"/>
    </format>
    <format dxfId="18">
      <pivotArea field="11" type="button" dataOnly="0" labelOnly="1" outline="0" axis="axisCol" fieldPosition="0"/>
    </format>
    <format dxfId="17">
      <pivotArea type="topRight" dataOnly="0" labelOnly="1" outline="0" fieldPosition="0"/>
    </format>
    <format dxfId="16">
      <pivotArea field="3" type="button" dataOnly="0" labelOnly="1" outline="0" axis="axisRow" fieldPosition="0"/>
    </format>
    <format dxfId="15">
      <pivotArea dataOnly="0" labelOnly="1" fieldPosition="0">
        <references count="1">
          <reference field="11" count="0"/>
        </references>
      </pivotArea>
    </format>
    <format dxfId="14">
      <pivotArea dataOnly="0" labelOnly="1" grandCol="1" outline="0" fieldPosition="0"/>
    </format>
    <format dxfId="13">
      <pivotArea outline="0" collapsedLevelsAreSubtotals="1" fieldPosition="0"/>
    </format>
    <format dxfId="12">
      <pivotArea dataOnly="0" grandRow="1" fieldPosition="0"/>
    </format>
    <format dxfId="11">
      <pivotArea dataOnly="0" grandRow="1" fieldPosition="0"/>
    </format>
    <format dxfId="10">
      <pivotArea grandRow="1" outline="0" collapsedLevelsAreSubtotals="1" fieldPosition="0"/>
    </format>
    <format dxfId="9">
      <pivotArea dataOnly="0" labelOnly="1" grandRow="1" outline="0" fieldPosition="0"/>
    </format>
    <format dxfId="8">
      <pivotArea type="origin" dataOnly="0" labelOnly="1" outline="0" fieldPosition="0"/>
    </format>
    <format dxfId="7">
      <pivotArea field="11" type="button" dataOnly="0" labelOnly="1" outline="0" axis="axisCol" fieldPosition="0"/>
    </format>
    <format dxfId="6">
      <pivotArea type="topRight" dataOnly="0" labelOnly="1" outline="0" fieldPosition="0"/>
    </format>
    <format dxfId="5">
      <pivotArea field="3" type="button" dataOnly="0" labelOnly="1" outline="0" axis="axisRow" fieldPosition="0"/>
    </format>
    <format dxfId="4">
      <pivotArea dataOnly="0" labelOnly="1" fieldPosition="0">
        <references count="1">
          <reference field="11"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A74CC4C-9E8D-42E1-8983-8A9426B1F6C6}" name="PivotTable19"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U8:V10" firstHeaderRow="1" firstDataRow="1" firstDataCol="1"/>
  <pivotFields count="29">
    <pivotField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2">
    <i>
      <x/>
    </i>
    <i t="grand">
      <x/>
    </i>
  </rowItems>
  <colItems count="1">
    <i/>
  </colItems>
  <dataFields count="1">
    <dataField name="Sum of Treatment Cost" fld="17" baseField="11" baseItem="0"/>
  </dataFields>
  <formats count="11">
    <format dxfId="36">
      <pivotArea field="11" type="button" dataOnly="0" labelOnly="1" outline="0" axis="axisRow" fieldPosition="0"/>
    </format>
    <format dxfId="35">
      <pivotArea dataOnly="0" labelOnly="1" outline="0" axis="axisValues" fieldPosition="0"/>
    </format>
    <format dxfId="34">
      <pivotArea field="11" type="button" dataOnly="0" labelOnly="1" outline="0" axis="axisRow" fieldPosition="0"/>
    </format>
    <format dxfId="33">
      <pivotArea dataOnly="0" labelOnly="1" outline="0" axis="axisValues" fieldPosition="0"/>
    </format>
    <format dxfId="32">
      <pivotArea dataOnly="0" grandRow="1" fieldPosition="0"/>
    </format>
    <format dxfId="31">
      <pivotArea dataOnly="0" grandRow="1" fieldPosition="0"/>
    </format>
    <format dxfId="30">
      <pivotArea grandRow="1" outline="0" collapsedLevelsAreSubtotals="1" fieldPosition="0"/>
    </format>
    <format dxfId="29">
      <pivotArea dataOnly="0" labelOnly="1" grandRow="1" outline="0" fieldPosition="0"/>
    </format>
    <format dxfId="28">
      <pivotArea field="11" type="button" dataOnly="0" labelOnly="1" outline="0" axis="axisRow" fieldPosition="0"/>
    </format>
    <format dxfId="27">
      <pivotArea dataOnly="0" labelOnly="1" outline="0" axis="axisValues" fieldPosition="0"/>
    </format>
    <format dxfId="26">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060EF14-5AF2-430F-82E8-406C72E477E0}" name="PivotTable18"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M8:N10" firstHeaderRow="1" firstDataRow="1" firstDataCol="1"/>
  <pivotFields count="29">
    <pivotField showAll="0"/>
    <pivotField dataField="1" showAll="0"/>
    <pivotField showAll="0"/>
    <pivotField showAll="0"/>
    <pivotField showAll="0"/>
    <pivotField showAll="0"/>
    <pivotField showAll="0"/>
    <pivotField showAll="0"/>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2"/>
  </rowFields>
  <rowItems count="2">
    <i>
      <x/>
    </i>
    <i t="grand">
      <x/>
    </i>
  </rowItems>
  <colItems count="1">
    <i/>
  </colItems>
  <dataFields count="1">
    <dataField name="Count of Risk Summary" fld="1" subtotal="count" baseField="0" baseItem="0"/>
  </dataFields>
  <formats count="13">
    <format dxfId="49">
      <pivotArea dataOnly="0" labelOnly="1" outline="0" axis="axisValues" fieldPosition="0"/>
    </format>
    <format dxfId="48">
      <pivotArea field="12" type="button" dataOnly="0" labelOnly="1" outline="0" axis="axisRow" fieldPosition="0"/>
    </format>
    <format dxfId="47">
      <pivotArea dataOnly="0" labelOnly="1" outline="0" axis="axisValues" fieldPosition="0"/>
    </format>
    <format dxfId="46">
      <pivotArea field="12" type="button" dataOnly="0" labelOnly="1" outline="0" axis="axisRow" fieldPosition="0"/>
    </format>
    <format dxfId="45">
      <pivotArea dataOnly="0" labelOnly="1" outline="0" axis="axisValues" fieldPosition="0"/>
    </format>
    <format dxfId="44">
      <pivotArea grandRow="1" outline="0" collapsedLevelsAreSubtotals="1" fieldPosition="0"/>
    </format>
    <format dxfId="43">
      <pivotArea dataOnly="0" labelOnly="1" grandRow="1" outline="0" fieldPosition="0"/>
    </format>
    <format dxfId="42">
      <pivotArea grandRow="1" outline="0" collapsedLevelsAreSubtotals="1" fieldPosition="0"/>
    </format>
    <format dxfId="41">
      <pivotArea dataOnly="0" labelOnly="1" grandRow="1" outline="0" fieldPosition="0"/>
    </format>
    <format dxfId="40">
      <pivotArea field="12" type="button" dataOnly="0" labelOnly="1" outline="0" axis="axisRow" fieldPosition="0"/>
    </format>
    <format dxfId="39">
      <pivotArea dataOnly="0" labelOnly="1" outline="0" axis="axisValues" fieldPosition="0"/>
    </format>
    <format dxfId="38">
      <pivotArea grandRow="1" outline="0" collapsedLevelsAreSubtotals="1" fieldPosition="0"/>
    </format>
    <format dxfId="37">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A7BCC62-60D1-4133-86FC-C9F99ED56F94}" name="PivotTable17" cacheId="15"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G8:I11" firstHeaderRow="1" firstDataRow="2" firstDataCol="1"/>
  <pivotFields count="29">
    <pivotField showAll="0"/>
    <pivotField showAll="0"/>
    <pivotField showAll="0"/>
    <pivotField showAll="0"/>
    <pivotField axis="axisRow" showAll="0">
      <items count="2">
        <item x="0"/>
        <item t="default"/>
      </items>
    </pivotField>
    <pivotField showAll="0"/>
    <pivotField showAll="0"/>
    <pivotField showAll="0"/>
    <pivotField showAll="0"/>
    <pivotField showAll="0"/>
    <pivotField showAll="0"/>
    <pivotField axis="axisCol" dataField="1" showAll="0">
      <items count="2">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
    <i>
      <x/>
    </i>
    <i t="grand">
      <x/>
    </i>
  </rowItems>
  <colFields count="1">
    <field x="11"/>
  </colFields>
  <colItems count="2">
    <i>
      <x/>
    </i>
    <i t="grand">
      <x/>
    </i>
  </colItems>
  <dataFields count="1">
    <dataField name="Count of Risk Level" fld="11" subtotal="count" baseField="0" baseItem="0"/>
  </dataFields>
  <formats count="23">
    <format dxfId="72">
      <pivotArea type="origin" dataOnly="0" labelOnly="1" outline="0" fieldPosition="0"/>
    </format>
    <format dxfId="71">
      <pivotArea field="11" type="button" dataOnly="0" labelOnly="1" outline="0" axis="axisCol" fieldPosition="0"/>
    </format>
    <format dxfId="70">
      <pivotArea type="topRight" dataOnly="0" labelOnly="1" outline="0" fieldPosition="0"/>
    </format>
    <format dxfId="69">
      <pivotArea field="4" type="button" dataOnly="0" labelOnly="1" outline="0" axis="axisRow" fieldPosition="0"/>
    </format>
    <format dxfId="68">
      <pivotArea dataOnly="0" labelOnly="1" fieldPosition="0">
        <references count="1">
          <reference field="11" count="0"/>
        </references>
      </pivotArea>
    </format>
    <format dxfId="67">
      <pivotArea dataOnly="0" labelOnly="1" grandCol="1" outline="0" fieldPosition="0"/>
    </format>
    <format dxfId="66">
      <pivotArea grandRow="1" outline="0" collapsedLevelsAreSubtotals="1" fieldPosition="0"/>
    </format>
    <format dxfId="65">
      <pivotArea dataOnly="0" labelOnly="1" grandRow="1" outline="0" fieldPosition="0"/>
    </format>
    <format dxfId="64">
      <pivotArea type="origin" dataOnly="0" labelOnly="1" outline="0" fieldPosition="0"/>
    </format>
    <format dxfId="63">
      <pivotArea field="11" type="button" dataOnly="0" labelOnly="1" outline="0" axis="axisCol" fieldPosition="0"/>
    </format>
    <format dxfId="62">
      <pivotArea type="topRight" dataOnly="0" labelOnly="1" outline="0" fieldPosition="0"/>
    </format>
    <format dxfId="61">
      <pivotArea field="4" type="button" dataOnly="0" labelOnly="1" outline="0" axis="axisRow" fieldPosition="0"/>
    </format>
    <format dxfId="60">
      <pivotArea dataOnly="0" labelOnly="1" fieldPosition="0">
        <references count="1">
          <reference field="11" count="0"/>
        </references>
      </pivotArea>
    </format>
    <format dxfId="59">
      <pivotArea dataOnly="0" labelOnly="1" grandCol="1" outline="0" fieldPosition="0"/>
    </format>
    <format dxfId="58">
      <pivotArea grandRow="1" outline="0" collapsedLevelsAreSubtotals="1" fieldPosition="0"/>
    </format>
    <format dxfId="57">
      <pivotArea dataOnly="0" labelOnly="1" grandRow="1" outline="0" fieldPosition="0"/>
    </format>
    <format dxfId="56">
      <pivotArea type="origin" dataOnly="0" labelOnly="1" outline="0" fieldPosition="0"/>
    </format>
    <format dxfId="55">
      <pivotArea field="11" type="button" dataOnly="0" labelOnly="1" outline="0" axis="axisCol" fieldPosition="0"/>
    </format>
    <format dxfId="54">
      <pivotArea type="topRight" dataOnly="0" labelOnly="1" outline="0" fieldPosition="0"/>
    </format>
    <format dxfId="53">
      <pivotArea field="4" type="button" dataOnly="0" labelOnly="1" outline="0" axis="axisRow" fieldPosition="0"/>
    </format>
    <format dxfId="52">
      <pivotArea dataOnly="0" labelOnly="1" fieldPosition="0">
        <references count="1">
          <reference field="11" count="0"/>
        </references>
      </pivotArea>
    </format>
    <format dxfId="51">
      <pivotArea dataOnly="0" labelOnly="1" grandCol="1" outline="0" fieldPosition="0"/>
    </format>
    <format dxfId="50">
      <pivotArea dataOnly="0" grandRow="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Owner" xr10:uid="{1E430D03-4FE4-41F1-84BE-FD21D4C3F14F}" sourceName="Risk Owner">
  <extLst>
    <x:ext xmlns:x15="http://schemas.microsoft.com/office/spreadsheetml/2010/11/main" uri="{2F2917AC-EB37-4324-AD4E-5DD8C200BD13}">
      <x15:tableSlicerCache tableId="7" column="6"/>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isk_level" xr10:uid="{ACDB34EB-DA71-41CC-815D-FFB347B7F691}" sourceName="Risk Level">
  <extLst>
    <x:ext xmlns:x15="http://schemas.microsoft.com/office/spreadsheetml/2010/11/main" uri="{2F2917AC-EB37-4324-AD4E-5DD8C200BD13}">
      <x15:tableSlicerCache tableId="7" column="26"/>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option_chosen" xr10:uid="{7F65085F-9CB2-4053-A0B2-093521C1011F}" sourceName="Treatment Option Chosen">
  <extLst>
    <x:ext xmlns:x15="http://schemas.microsoft.com/office/spreadsheetml/2010/11/main" uri="{2F2917AC-EB37-4324-AD4E-5DD8C200BD13}">
      <x15:tableSlicerCache tableId="7" column="25"/>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Owner" xr10:uid="{7AC51F6C-2D3B-4EE3-A271-BEC3C7862A31}" sourceName="Treatment Action Owner">
  <extLst>
    <x:ext xmlns:x15="http://schemas.microsoft.com/office/spreadsheetml/2010/11/main" uri="{2F2917AC-EB37-4324-AD4E-5DD8C200BD13}">
      <x15:tableSlicerCache tableId="7" column="4"/>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atment_Action_Status" xr10:uid="{E0AD7BE7-C061-4B70-8D4B-954A3D137A1E}" sourceName="Treatment Action Status">
  <extLst>
    <x:ext xmlns:x15="http://schemas.microsoft.com/office/spreadsheetml/2010/11/main" uri="{2F2917AC-EB37-4324-AD4E-5DD8C200BD13}">
      <x15:tableSlicerCache tableId="7" column="16"/>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ost_Treatment_Risk_Level" xr10:uid="{57A278B4-62CC-4D0E-8B69-848B1549730D}" sourceName="Post-Treatment Risk Level">
  <extLst>
    <x:ext xmlns:x15="http://schemas.microsoft.com/office/spreadsheetml/2010/11/main" uri="{2F2917AC-EB37-4324-AD4E-5DD8C200BD13}">
      <x15:tableSlicerCache tableId="7" column="32"/>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isk Owner" xr10:uid="{450BFEC9-50CC-4E66-A516-7B198AD50D35}" cache="Slicer_Risk_Owner" caption="Risk Owner" style="CertiKit Slicer 2" rowHeight="241300"/>
  <slicer name="Risk level" xr10:uid="{E70FB1F9-5DCB-4E00-B3B9-BC105490AFFC}" cache="Slicer_Risk_level" caption="Risk Level" style="CertiKit Slicer 2" rowHeight="241300"/>
  <slicer name="Treatment option chosen 2" xr10:uid="{D089F5CA-DA1B-477E-A6DE-C0274D5E7FDF}" cache="Slicer_Treatment_option_chosen" caption="Treatment Option Chosen" style="CertiKit Slicer 2" rowHeight="241300"/>
  <slicer name="Treatment Action Owner 1" xr10:uid="{D2DCCA03-CB0D-48E4-814F-44AEF6BDDF22}" cache="Slicer_Treatment_Action_Owner" caption="Treatment Action Owner" style="CertiKit Slicer 2" rowHeight="241300"/>
  <slicer name="Treatment Action Status 1" xr10:uid="{3CE09EDA-8080-4AA7-BFBD-53772DAA8DB8}" cache="Slicer_Treatment_Action_Status" caption="Treatment Action Status" style="CertiKit Slicer 2" rowHeight="241300"/>
  <slicer name="Post-Treatment Risk Level" xr10:uid="{5A1B27FD-AF30-402A-A993-743243C18186}" cache="Slicer_Post_Treatment_Risk_Level" caption="Post-Treatment Risk Level" style="CertiKit Slicer 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20A5B6B-6645-4BB4-B179-1BBF22613F16}" name="RiskAssessment" displayName="RiskAssessment" ref="B13:AB33" totalsRowShown="0" headerRowDxfId="155" dataDxfId="154">
  <autoFilter ref="B13:AB33" xr:uid="{331DA5F4-9C06-4134-AE8F-9805BF57E53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autoFilter>
  <tableColumns count="27">
    <tableColumn id="1" xr3:uid="{7780B8FA-8743-4524-865B-12BD63D2056E}" name="Ref" dataDxfId="153"/>
    <tableColumn id="2" xr3:uid="{3278FB7C-91F3-417D-B3D1-6874CF833910}" name="Risk Summary" dataDxfId="152"/>
    <tableColumn id="14" xr3:uid="{A53DA3AA-36F7-400B-A24B-61AFD64480AC}" name="Risk Description" dataDxfId="151"/>
    <tableColumn id="5" xr3:uid="{7E2C2527-E2E7-4FED-AC15-82969BEEA9D8}" name="Risk Type" dataDxfId="150"/>
    <tableColumn id="6" xr3:uid="{5BD50508-B827-4940-BEA7-24745396DADF}" name="Risk Owner" dataDxfId="149"/>
    <tableColumn id="7" xr3:uid="{88F4F6C4-C558-4511-BD94-F92314B01A77}" name="Existing Controls" dataDxfId="148"/>
    <tableColumn id="8" xr3:uid="{0AA282DC-3088-4338-80C5-2EF25A907C36}" name="Likelihood" dataDxfId="147"/>
    <tableColumn id="9" xr3:uid="{84AE39E5-D4CF-48F2-AE20-B65A24BC706B}" name="Likelihood Rationale" dataDxfId="146"/>
    <tableColumn id="10" xr3:uid="{CA483CC8-0A9F-49F4-8467-9C42A0694C13}" name="Impact" dataDxfId="145"/>
    <tableColumn id="11" xr3:uid="{CFD1BC19-E865-4532-B678-79A520B128C6}" name="Impact Rationale" dataDxfId="144"/>
    <tableColumn id="12" xr3:uid="{B7F199D4-99F3-4A9C-9D92-102D2EF262D7}" name="Risk Score" dataDxfId="143">
      <calculatedColumnFormula>IFERROR(RiskAssessment[[#This Row],[Likelihood]]*RiskAssessment[[#This Row],[Impact]],"Calculated")</calculatedColumnFormula>
    </tableColumn>
    <tableColumn id="26" xr3:uid="{92D3F116-E810-44D0-9D9E-7FBEB1DEB8D8}" name="Risk Level" dataDxfId="142">
      <calculatedColumnFormula>IF(L14="Calculated", "Calculated", IF(L14&gt;11, " HIGH",IF(L14&gt;4," MEDIUM"," LOW")))</calculatedColumnFormula>
    </tableColumn>
    <tableColumn id="25" xr3:uid="{4A288FE7-5236-47D2-A80C-C3EFE89D249B}" name="Treatment Option Chosen" dataDxfId="141"/>
    <tableColumn id="24" xr3:uid="{E68F9F93-9B81-4C6A-A901-3CB89BBDB0C3}" name="Proposed Treatment Action" dataDxfId="140"/>
    <tableColumn id="13" xr3:uid="{7FA2E355-6683-4DE6-AB76-09AF7D520589}" name="Annex A/Control Reference" dataDxfId="139"/>
    <tableColumn id="3" xr3:uid="{9899C2E4-A8EF-4E7C-91BC-56AEC3605BDB}" name="Treatment Cost" dataDxfId="138"/>
    <tableColumn id="4" xr3:uid="{63FCA63E-37BE-41EE-855A-DDCB2528FE79}" name="Treatment Action Owner" dataDxfId="137"/>
    <tableColumn id="15" xr3:uid="{FE9D1397-7F83-4072-BC01-DC4A10C3AC1B}" name="Treatment Action Timescale" dataDxfId="136"/>
    <tableColumn id="17" xr3:uid="{B7628829-460A-4E1B-A225-CC60743DDDC9}" name="Treatment Action Progress" dataDxfId="135"/>
    <tableColumn id="16" xr3:uid="{D8785450-9FE7-4D1F-B472-FBA3922839CE}" name="Treatment Action Status" dataDxfId="134"/>
    <tableColumn id="23" xr3:uid="{0C955E08-3829-43CE-AD97-7CAC6D3BE74A}" name="Post-Treatment Likelihood" dataDxfId="133"/>
    <tableColumn id="22" xr3:uid="{FC0F7D48-D51C-4F43-B569-3F3866789458}" name="Post-Treatment Likelihood Rationale" dataDxfId="132"/>
    <tableColumn id="20" xr3:uid="{8099D3FF-BFC9-4F1E-8F43-237A9CAEC5F4}" name="Post- Treatment Impact" dataDxfId="131"/>
    <tableColumn id="34" xr3:uid="{A042F55B-EB28-4B01-BDE5-0C5066129EAD}" name="Post-Treatment Impact Rationale" dataDxfId="130"/>
    <tableColumn id="33" xr3:uid="{77FF60DC-16CE-4E05-B011-A7DAE2503C53}" name="Post-Treatment Risk Score" dataDxfId="129">
      <calculatedColumnFormula>IFERROR(RiskAssessment[[#This Row],[Post-Treatment Likelihood]]*RiskAssessment[[#This Row],[Post- Treatment Impact]],"Calculated")</calculatedColumnFormula>
    </tableColumn>
    <tableColumn id="32" xr3:uid="{02FDD454-ECC7-411C-896E-F510AA417304}" name="Post-Treatment Risk Level" dataDxfId="128">
      <calculatedColumnFormula>IF(Z14="Calculated", "Calculated", IF(Z14&gt;11, " HIGH",IF(Z14&gt;4," MEDIUM"," LOW")))</calculatedColumnFormula>
    </tableColumn>
    <tableColumn id="31" xr3:uid="{6F81B6AE-B322-464A-9CA3-F6649B4E74FA}" name="Comments" dataDxfId="127"/>
  </tableColumns>
  <tableStyleInfo name="CertiKit table style 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3098D6-4E26-42EF-B867-11B7A180FF01}" name="PreTreatmentRisksByRiskLevel" displayName="PreTreatmentRisksByRiskLevel" ref="B6:C9" totalsRowShown="0" headerRowDxfId="120">
  <autoFilter ref="B6:C9" xr:uid="{6DD72213-C7C7-4475-81A9-957D67691275}"/>
  <tableColumns count="2">
    <tableColumn id="1" xr3:uid="{FB643B66-CD9F-4AE4-BE24-8E9BB8A598B3}" name="Risk level"/>
    <tableColumn id="2" xr3:uid="{431A049C-CEE8-4AED-A122-0554E1196028}" name="Pre-treatment" dataDxfId="119"/>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B42B2A87-CAB5-4B08-95F2-F52E908347A4}" name="RisksByRiskLevelPreandPostTreatment10" displayName="RisksByRiskLevelPreandPostTreatment10" ref="B6:C9" totalsRowShown="0" headerRowDxfId="108">
  <autoFilter ref="B6:C9" xr:uid="{58B6FB75-1772-4E97-8BB0-09A2610DA359}"/>
  <tableColumns count="2">
    <tableColumn id="1" xr3:uid="{060FE462-9CBB-476C-A515-C7814AC430E9}" name="Risk level"/>
    <tableColumn id="3" xr3:uid="{8B930A52-980E-4015-A09E-7AE896EC2DA9}" name="Post-treatment" dataDxfId="107"/>
  </tableColumns>
  <tableStyleInfo showFirstColumn="0" showLastColumn="0" showRowStripes="0"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04AEFD6-F146-444E-8857-991236F1E58D}" name="PreMitigationRisksByRiskLevel10" displayName="PreMitigationRisksByRiskLevel10" ref="B6:D9" totalsRowShown="0" headerRowDxfId="102">
  <autoFilter ref="B6:D9" xr:uid="{1C2041F9-A7AF-4536-A9F3-B5F1DC471D08}"/>
  <tableColumns count="3">
    <tableColumn id="1" xr3:uid="{4BCDBDEA-07E5-417B-8555-2DB6730C7156}" name="Risk level"/>
    <tableColumn id="2" xr3:uid="{B9F5D0BE-47D8-41B6-9E6A-B89B087E76CE}" name="Pre-treatment" dataDxfId="101"/>
    <tableColumn id="3" xr3:uid="{729B54DD-5446-4A03-AA73-E8050E6B0473}" name="Post-treatment" dataDxfId="100"/>
  </tableColumns>
  <tableStyleInfo showFirstColumn="0" showLastColumn="0" showRowStripes="0"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27D71F-7096-44AD-865E-C4E925D95B25}" name="OnetoFive" displayName="OnetoFive" ref="B6:B12" totalsRowShown="0" headerRowDxfId="80" dataDxfId="79">
  <autoFilter ref="B6:B12" xr:uid="{53E7F917-CE3C-45CA-BA10-709121A44293}">
    <filterColumn colId="0" hiddenButton="1"/>
  </autoFilter>
  <tableColumns count="1">
    <tableColumn id="1" xr3:uid="{5364270F-A323-40A1-A90B-30119CD587D5}" name="ONE TO FIVE" dataDxfId="78"/>
  </tableColumns>
  <tableStyleInfo name="CertiKit table style"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CC6DD06-659A-4CDF-A327-841FDA7D159C}" name="Options" displayName="Options" ref="D6:D11" totalsRowShown="0" headerRowDxfId="77">
  <autoFilter ref="D6:D11" xr:uid="{45576131-8111-4F4B-847C-3395F8FC4342}">
    <filterColumn colId="0" hiddenButton="1"/>
  </autoFilter>
  <tableColumns count="1">
    <tableColumn id="1" xr3:uid="{40850E87-988C-4D35-BD9B-533BCAD5ED19}" name="OPTIONS"/>
  </tableColumns>
  <tableStyleInfo name="CertiKit table 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D5E1B08-FAE0-4FCE-8763-AA005675F917}" name="Table5" displayName="Table5" ref="B15:B23" totalsRowShown="0" headerRowDxfId="76" dataDxfId="75">
  <autoFilter ref="B15:B23" xr:uid="{ADC1EFD5-3350-4072-8EF2-5133E8CE6D2E}">
    <filterColumn colId="0" hiddenButton="1"/>
  </autoFilter>
  <tableColumns count="1">
    <tableColumn id="1" xr3:uid="{E0E30E6C-8C77-4094-A54C-089E8B9C4815}" name="RISK TYPE" dataDxfId="74"/>
  </tableColumns>
  <tableStyleInfo name="CertiKit table style"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B0F055B-5234-481D-A432-2E632EDD7D6E}" name="Table4" displayName="Table4" ref="D15:D20" totalsRowShown="0" headerRowDxfId="73">
  <autoFilter ref="D15:D20" xr:uid="{1A728688-554C-4C39-81EA-DFD5D3DCEF34}">
    <filterColumn colId="0" hiddenButton="1"/>
  </autoFilter>
  <tableColumns count="1">
    <tableColumn id="1" xr3:uid="{0D4F1FB8-5CDF-4735-B2A0-EAE98570F98E}" name="TREATMENT ACTION STATUS"/>
  </tableColumns>
  <tableStyleInfo name="CertiKit table style"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CBE1286-8DEB-4438-B0DC-4526908BB9A6}" name="Table1" displayName="Table1" ref="Q8:S11" totalsRowShown="0" headerRowDxfId="2">
  <autoFilter ref="Q8:S11" xr:uid="{54D3D3B4-BC6C-4AF1-95F6-7C95CC09C77A}">
    <filterColumn colId="0" hiddenButton="1"/>
    <filterColumn colId="1" hiddenButton="1"/>
    <filterColumn colId="2" hiddenButton="1"/>
  </autoFilter>
  <tableColumns count="3">
    <tableColumn id="1" xr3:uid="{F23F1193-8162-48F6-90A7-5E21284DF35C}" name="Risk level"/>
    <tableColumn id="2" xr3:uid="{247618CA-BB68-4CFA-94FD-F8EF97D709C5}" name="Pre-Treatment" dataDxfId="1">
      <calculatedColumnFormula>COUNTIF(RiskAssessment[Risk Level],Table1[[#This Row],[Risk level]])</calculatedColumnFormula>
    </tableColumn>
    <tableColumn id="3" xr3:uid="{767FB9D4-83A3-4A52-9158-EE6C4BD19ED3}" name="Post-Treatment" dataDxfId="0">
      <calculatedColumnFormula>COUNTIF(RiskAssessment[Post-Treatment Risk Level],Table1[[#This Row],[Risk level]])</calculatedColumnFormula>
    </tableColumn>
  </tableColumns>
  <tableStyleInfo name="CertiKit table style" showFirstColumn="0" showLastColumn="0" showRowStripes="0" showColumnStripes="0"/>
</table>
</file>

<file path=xl/theme/theme1.xml><?xml version="1.0" encoding="utf-8"?>
<a:theme xmlns:a="http://schemas.openxmlformats.org/drawingml/2006/main" name="CertiKit Theme">
  <a:themeElements>
    <a:clrScheme name="CertiKit Excel Colours">
      <a:dk1>
        <a:srgbClr val="444444"/>
      </a:dk1>
      <a:lt1>
        <a:sysClr val="window" lastClr="FFFFFF"/>
      </a:lt1>
      <a:dk2>
        <a:srgbClr val="CCC900"/>
      </a:dk2>
      <a:lt2>
        <a:srgbClr val="D0EAEB"/>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6" Type="http://schemas.openxmlformats.org/officeDocument/2006/relationships/comments" Target="../comments1.xml"/><Relationship Id="rId5" Type="http://schemas.microsoft.com/office/2007/relationships/slicer" Target="../slicers/slicer1.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rinterSettings" Target="../printerSettings/printerSettings5.bin"/><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printerSettings" Target="../printerSettings/printerSettings10.bin"/><Relationship Id="rId5" Type="http://schemas.openxmlformats.org/officeDocument/2006/relationships/table" Target="../tables/table8.xml"/><Relationship Id="rId4" Type="http://schemas.openxmlformats.org/officeDocument/2006/relationships/table" Target="../tables/table7.xml"/></Relationships>
</file>

<file path=xl/worksheets/_rels/sheet17.xml.rels><?xml version="1.0" encoding="UTF-8" standalone="yes"?>
<Relationships xmlns="http://schemas.openxmlformats.org/package/2006/relationships"><Relationship Id="rId3" Type="http://schemas.openxmlformats.org/officeDocument/2006/relationships/pivotTable" Target="../pivotTables/pivotTable10.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9.xml"/><Relationship Id="rId5" Type="http://schemas.openxmlformats.org/officeDocument/2006/relationships/printerSettings" Target="../printerSettings/printerSettings11.bin"/><Relationship Id="rId4"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DBB7-4277-4A45-906F-D59AA221A72F}">
  <sheetPr codeName="Sheet1"/>
  <dimension ref="A2:B26"/>
  <sheetViews>
    <sheetView showGridLines="0" tabSelected="1" zoomScaleNormal="100" workbookViewId="0"/>
  </sheetViews>
  <sheetFormatPr defaultColWidth="9.140625" defaultRowHeight="15" x14ac:dyDescent="0.25"/>
  <cols>
    <col min="1" max="1" width="2.85546875" style="3" customWidth="1"/>
    <col min="2" max="2" width="93.140625" style="3" customWidth="1"/>
    <col min="3" max="16384" width="9.140625" style="3"/>
  </cols>
  <sheetData>
    <row r="2" spans="1:2" x14ac:dyDescent="0.25">
      <c r="B2" s="4"/>
    </row>
    <row r="3" spans="1:2" x14ac:dyDescent="0.25">
      <c r="B3" s="4"/>
    </row>
    <row r="4" spans="1:2" x14ac:dyDescent="0.25">
      <c r="B4" s="4"/>
    </row>
    <row r="5" spans="1:2" x14ac:dyDescent="0.25">
      <c r="B5" s="4"/>
    </row>
    <row r="6" spans="1:2" x14ac:dyDescent="0.25">
      <c r="B6" s="4"/>
    </row>
    <row r="7" spans="1:2" x14ac:dyDescent="0.25">
      <c r="B7" s="4"/>
    </row>
    <row r="8" spans="1:2" ht="53.25" x14ac:dyDescent="0.25">
      <c r="B8" s="2" t="s">
        <v>230</v>
      </c>
    </row>
    <row r="10" spans="1:2" ht="111" x14ac:dyDescent="0.25">
      <c r="B10" s="2" t="s">
        <v>232</v>
      </c>
    </row>
    <row r="12" spans="1:2" ht="51" x14ac:dyDescent="0.25">
      <c r="B12" s="2" t="s">
        <v>231</v>
      </c>
    </row>
    <row r="14" spans="1:2" ht="81" x14ac:dyDescent="0.25">
      <c r="A14" s="5"/>
      <c r="B14" s="2" t="s">
        <v>233</v>
      </c>
    </row>
    <row r="15" spans="1:2" x14ac:dyDescent="0.25">
      <c r="A15" s="5"/>
      <c r="B15" s="6"/>
    </row>
    <row r="16" spans="1:2" ht="201" x14ac:dyDescent="0.25">
      <c r="B16" s="2" t="s">
        <v>292</v>
      </c>
    </row>
    <row r="18" spans="2:2" ht="51" x14ac:dyDescent="0.25">
      <c r="B18" s="2" t="s">
        <v>234</v>
      </c>
    </row>
    <row r="20" spans="2:2" ht="36" x14ac:dyDescent="0.25">
      <c r="B20" s="2" t="s">
        <v>291</v>
      </c>
    </row>
    <row r="22" spans="2:2" ht="66" x14ac:dyDescent="0.25">
      <c r="B22" s="2" t="s">
        <v>235</v>
      </c>
    </row>
    <row r="24" spans="2:2" ht="96" x14ac:dyDescent="0.25">
      <c r="B24" s="2" t="s">
        <v>237</v>
      </c>
    </row>
    <row r="26" spans="2:2" ht="246" x14ac:dyDescent="0.25">
      <c r="B26" s="2" t="s">
        <v>236</v>
      </c>
    </row>
  </sheetData>
  <sheetProtection selectLockedCells="1" selectUnlockedCells="1"/>
  <pageMargins left="0.70866141732283472" right="0.70866141732283472" top="0.74803149606299213" bottom="0.74803149606299213" header="0.31496062992125984" footer="0.31496062992125984"/>
  <pageSetup paperSize="9" scale="85" orientation="portrait" horizontalDpi="1200" verticalDpi="1200" r:id="rId1"/>
  <headerFooter>
    <oddFooter>&amp;L&amp;D&amp;CPage &amp;P of &amp;N&amp;R[Insert classification]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2337E4-FD53-43E3-968B-36F790106177}">
  <sheetPr codeName="Sheet2"/>
  <dimension ref="B2:C20"/>
  <sheetViews>
    <sheetView showGridLines="0" zoomScaleNormal="100" workbookViewId="0"/>
  </sheetViews>
  <sheetFormatPr defaultColWidth="9.140625" defaultRowHeight="15" x14ac:dyDescent="0.25"/>
  <cols>
    <col min="1" max="1" width="2.85546875" style="3" customWidth="1"/>
    <col min="2" max="2" width="25" style="3" customWidth="1"/>
    <col min="3" max="3" width="83.7109375"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8" spans="2:3" ht="21" x14ac:dyDescent="0.25">
      <c r="B8" s="12" t="s">
        <v>5</v>
      </c>
    </row>
    <row r="10" spans="2:3" ht="30" x14ac:dyDescent="0.25">
      <c r="B10" s="38" t="s">
        <v>81</v>
      </c>
      <c r="C10" s="39" t="s">
        <v>82</v>
      </c>
    </row>
    <row r="11" spans="2:3" x14ac:dyDescent="0.25">
      <c r="B11" s="36" t="s">
        <v>80</v>
      </c>
      <c r="C11" s="34" t="s">
        <v>1</v>
      </c>
    </row>
    <row r="12" spans="2:3" ht="30" x14ac:dyDescent="0.25">
      <c r="B12" s="38" t="s">
        <v>72</v>
      </c>
      <c r="C12" s="40" t="s">
        <v>191</v>
      </c>
    </row>
    <row r="13" spans="2:3" ht="30" x14ac:dyDescent="0.25">
      <c r="B13" s="38" t="s">
        <v>83</v>
      </c>
      <c r="C13" s="39" t="s">
        <v>2</v>
      </c>
    </row>
    <row r="14" spans="2:3" ht="30" x14ac:dyDescent="0.25">
      <c r="B14" s="38" t="s">
        <v>73</v>
      </c>
      <c r="C14" s="39" t="s">
        <v>84</v>
      </c>
    </row>
    <row r="15" spans="2:3" ht="30" x14ac:dyDescent="0.25">
      <c r="B15" s="38" t="s">
        <v>74</v>
      </c>
      <c r="C15" s="39" t="s">
        <v>3</v>
      </c>
    </row>
    <row r="16" spans="2:3" ht="30" x14ac:dyDescent="0.25">
      <c r="B16" s="38" t="s">
        <v>75</v>
      </c>
      <c r="C16" s="41" t="s">
        <v>6</v>
      </c>
    </row>
    <row r="17" spans="2:3" ht="30" x14ac:dyDescent="0.25">
      <c r="B17" s="38" t="s">
        <v>76</v>
      </c>
      <c r="C17" s="39" t="s">
        <v>7</v>
      </c>
    </row>
    <row r="18" spans="2:3" ht="30" x14ac:dyDescent="0.25">
      <c r="B18" s="38" t="s">
        <v>79</v>
      </c>
      <c r="C18" s="39" t="s">
        <v>8</v>
      </c>
    </row>
    <row r="19" spans="2:3" ht="30" x14ac:dyDescent="0.25">
      <c r="B19" s="37" t="s">
        <v>77</v>
      </c>
      <c r="C19" s="35" t="s">
        <v>4</v>
      </c>
    </row>
    <row r="20" spans="2:3" ht="30" x14ac:dyDescent="0.25">
      <c r="B20" s="37" t="s">
        <v>78</v>
      </c>
      <c r="C20" s="35" t="s">
        <v>9</v>
      </c>
    </row>
  </sheetData>
  <sheetProtection selectLockedCells="1"/>
  <pageMargins left="0.70866141732283472" right="0.70866141732283472" top="0.74803149606299213" bottom="0.74803149606299213" header="0.31496062992125984" footer="0.31496062992125984"/>
  <pageSetup paperSize="9" scale="94" orientation="portrait" horizontalDpi="1200" verticalDpi="1200" r:id="rId1"/>
  <headerFooter>
    <oddFooter>&amp;L&amp;D&amp;CPage &amp;P of &amp;N&amp;R[Insert classification]</oddFooter>
  </headerFooter>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710DC-A629-4296-81D8-97D7450DC101}">
  <sheetPr codeName="Sheet3">
    <pageSetUpPr fitToPage="1"/>
  </sheetPr>
  <dimension ref="B2:AM33"/>
  <sheetViews>
    <sheetView showGridLines="0" zoomScaleNormal="100" workbookViewId="0"/>
  </sheetViews>
  <sheetFormatPr defaultColWidth="9.140625" defaultRowHeight="15" x14ac:dyDescent="0.25"/>
  <cols>
    <col min="1" max="1" width="2.85546875" style="13" customWidth="1"/>
    <col min="2" max="2" width="4.28515625" style="13" customWidth="1"/>
    <col min="3" max="3" width="15.85546875" style="13" customWidth="1"/>
    <col min="4" max="4" width="21.140625" style="13" customWidth="1"/>
    <col min="5" max="5" width="10.140625" style="13" customWidth="1"/>
    <col min="6" max="6" width="12.7109375" style="13" customWidth="1"/>
    <col min="7" max="7" width="9.85546875" style="13" customWidth="1"/>
    <col min="8" max="8" width="10.5703125" style="13" customWidth="1"/>
    <col min="9" max="9" width="18.28515625" style="13" customWidth="1"/>
    <col min="10" max="10" width="10.7109375" style="13" customWidth="1"/>
    <col min="11" max="11" width="18.28515625" style="13" customWidth="1"/>
    <col min="12" max="12" width="11.7109375" style="13" customWidth="1"/>
    <col min="13" max="13" width="13.42578125" style="13" customWidth="1"/>
    <col min="14" max="14" width="11.7109375" style="13" customWidth="1"/>
    <col min="15" max="15" width="17.140625" style="13" customWidth="1"/>
    <col min="16" max="16" width="17.42578125" style="13" customWidth="1"/>
    <col min="17" max="17" width="13.140625" style="13" customWidth="1"/>
    <col min="18" max="18" width="14.85546875" style="13" customWidth="1"/>
    <col min="19" max="19" width="11.85546875" style="13" customWidth="1"/>
    <col min="20" max="20" width="14.85546875" style="13" customWidth="1"/>
    <col min="21" max="21" width="11.28515625" style="13" customWidth="1"/>
    <col min="22" max="22" width="12.5703125" style="13" customWidth="1"/>
    <col min="23" max="23" width="14.5703125" style="13" customWidth="1"/>
    <col min="24" max="24" width="10.85546875" style="13" customWidth="1"/>
    <col min="25" max="25" width="11" style="13" customWidth="1"/>
    <col min="26" max="26" width="11.5703125" style="13" customWidth="1"/>
    <col min="27" max="27" width="12.85546875" style="13" customWidth="1"/>
    <col min="28" max="16384" width="9.140625" style="13"/>
  </cols>
  <sheetData>
    <row r="2" spans="2:39" ht="15" customHeight="1" x14ac:dyDescent="0.25">
      <c r="D2" s="17"/>
      <c r="E2" s="18"/>
      <c r="F2" s="17"/>
      <c r="G2" s="17"/>
      <c r="H2" s="17"/>
      <c r="J2" s="17"/>
      <c r="K2" s="17"/>
      <c r="L2" s="17"/>
      <c r="M2" s="17"/>
      <c r="N2" s="17"/>
      <c r="O2" s="17"/>
    </row>
    <row r="4" spans="2:39" x14ac:dyDescent="0.25">
      <c r="D4" s="17"/>
      <c r="E4" s="19"/>
      <c r="F4" s="17"/>
      <c r="G4" s="17"/>
      <c r="H4" s="17"/>
      <c r="I4" s="17"/>
      <c r="J4" s="17"/>
      <c r="K4" s="17"/>
      <c r="L4" s="17"/>
      <c r="M4" s="17"/>
      <c r="N4" s="17"/>
      <c r="O4" s="17"/>
    </row>
    <row r="5" spans="2:39" x14ac:dyDescent="0.25">
      <c r="D5" s="17"/>
      <c r="E5" s="19"/>
      <c r="F5" s="17"/>
      <c r="G5" s="17"/>
      <c r="H5" s="17"/>
      <c r="I5" s="17"/>
      <c r="J5" s="17"/>
      <c r="K5" s="17"/>
      <c r="L5" s="17"/>
      <c r="M5" s="17"/>
      <c r="N5" s="17"/>
      <c r="O5" s="17"/>
    </row>
    <row r="6" spans="2:39" x14ac:dyDescent="0.25">
      <c r="D6" s="17"/>
      <c r="E6" s="19"/>
      <c r="F6" s="17"/>
      <c r="G6" s="17"/>
      <c r="H6" s="17"/>
      <c r="I6" s="17"/>
      <c r="J6" s="17"/>
      <c r="K6" s="17"/>
      <c r="L6" s="17"/>
      <c r="M6" s="17"/>
      <c r="N6" s="17"/>
      <c r="O6" s="17"/>
    </row>
    <row r="7" spans="2:39" x14ac:dyDescent="0.25">
      <c r="D7" s="17"/>
      <c r="E7" s="19"/>
      <c r="F7" s="17"/>
      <c r="G7" s="17"/>
      <c r="H7" s="17"/>
      <c r="I7" s="17"/>
      <c r="J7" s="17"/>
      <c r="K7" s="17"/>
      <c r="L7" s="17"/>
      <c r="M7" s="17"/>
      <c r="N7" s="17"/>
      <c r="O7" s="17"/>
    </row>
    <row r="8" spans="2:39" ht="21" x14ac:dyDescent="0.25">
      <c r="B8" s="12" t="s">
        <v>174</v>
      </c>
      <c r="D8" s="17"/>
      <c r="E8" s="19"/>
      <c r="F8" s="17"/>
      <c r="G8" s="17"/>
      <c r="H8" s="17"/>
      <c r="I8" s="17"/>
      <c r="J8" s="17"/>
      <c r="K8" s="17"/>
      <c r="L8" s="17"/>
      <c r="M8" s="17"/>
      <c r="N8" s="17"/>
      <c r="O8" s="17"/>
    </row>
    <row r="9" spans="2:39" ht="31.5" customHeight="1" x14ac:dyDescent="0.25">
      <c r="B9" s="100" t="s">
        <v>177</v>
      </c>
      <c r="C9" s="100"/>
      <c r="D9" s="100"/>
      <c r="E9" s="100"/>
      <c r="F9" s="100"/>
      <c r="G9" s="100"/>
      <c r="H9" s="17"/>
      <c r="I9" s="17"/>
      <c r="J9" s="17"/>
      <c r="K9" s="17"/>
      <c r="L9" s="27"/>
      <c r="M9" s="28"/>
      <c r="N9" s="28"/>
      <c r="O9" s="17"/>
    </row>
    <row r="10" spans="2:39" ht="15" customHeight="1" x14ac:dyDescent="0.25">
      <c r="B10" s="81" t="s">
        <v>270</v>
      </c>
      <c r="C10" s="14"/>
      <c r="D10" s="14"/>
      <c r="E10" s="14"/>
      <c r="F10" s="14"/>
      <c r="G10" s="14"/>
      <c r="H10" s="17"/>
      <c r="I10" s="17"/>
      <c r="J10" s="17"/>
      <c r="K10" s="17"/>
      <c r="L10" s="27"/>
      <c r="M10" s="28"/>
      <c r="N10" s="28"/>
      <c r="O10" s="17"/>
    </row>
    <row r="11" spans="2:39" ht="15" customHeight="1" x14ac:dyDescent="0.25">
      <c r="D11" s="17"/>
      <c r="E11" s="19"/>
      <c r="F11" s="17"/>
      <c r="G11" s="17"/>
      <c r="H11" s="17"/>
      <c r="I11" s="17"/>
      <c r="J11" s="17"/>
      <c r="K11" s="17"/>
      <c r="L11" s="17"/>
      <c r="M11" s="17"/>
      <c r="N11" s="17"/>
      <c r="O11" s="17"/>
    </row>
    <row r="12" spans="2:39" ht="22.5" customHeight="1" x14ac:dyDescent="0.25">
      <c r="B12" s="97" t="s">
        <v>16</v>
      </c>
      <c r="C12" s="97"/>
      <c r="D12" s="97"/>
      <c r="E12" s="97"/>
      <c r="F12" s="98"/>
      <c r="G12" s="99" t="s">
        <v>222</v>
      </c>
      <c r="H12" s="97"/>
      <c r="I12" s="97"/>
      <c r="J12" s="97"/>
      <c r="K12" s="97"/>
      <c r="L12" s="97"/>
      <c r="M12" s="98"/>
      <c r="N12" s="99" t="s">
        <v>220</v>
      </c>
      <c r="O12" s="97"/>
      <c r="P12" s="97"/>
      <c r="Q12" s="97"/>
      <c r="R12" s="97"/>
      <c r="S12" s="97"/>
      <c r="T12" s="98"/>
      <c r="U12" s="99" t="s">
        <v>223</v>
      </c>
      <c r="V12" s="97"/>
      <c r="W12" s="97"/>
      <c r="X12" s="97"/>
      <c r="Y12" s="97"/>
      <c r="Z12" s="97"/>
      <c r="AA12" s="97"/>
      <c r="AB12" s="88"/>
    </row>
    <row r="13" spans="2:39" ht="60" x14ac:dyDescent="0.25">
      <c r="B13" s="14" t="s">
        <v>10</v>
      </c>
      <c r="C13" s="14" t="s">
        <v>175</v>
      </c>
      <c r="D13" s="14" t="s">
        <v>176</v>
      </c>
      <c r="E13" s="14" t="s">
        <v>85</v>
      </c>
      <c r="F13" s="14" t="s">
        <v>11</v>
      </c>
      <c r="G13" s="14" t="s">
        <v>178</v>
      </c>
      <c r="H13" s="14" t="s">
        <v>12</v>
      </c>
      <c r="I13" s="14" t="s">
        <v>179</v>
      </c>
      <c r="J13" s="14" t="s">
        <v>13</v>
      </c>
      <c r="K13" s="14" t="s">
        <v>180</v>
      </c>
      <c r="L13" s="14" t="s">
        <v>181</v>
      </c>
      <c r="M13" s="14" t="s">
        <v>182</v>
      </c>
      <c r="N13" s="14" t="s">
        <v>183</v>
      </c>
      <c r="O13" s="14" t="s">
        <v>224</v>
      </c>
      <c r="P13" s="14" t="s">
        <v>287</v>
      </c>
      <c r="Q13" s="14" t="s">
        <v>213</v>
      </c>
      <c r="R13" s="14" t="s">
        <v>216</v>
      </c>
      <c r="S13" s="14" t="s">
        <v>217</v>
      </c>
      <c r="T13" s="14" t="s">
        <v>219</v>
      </c>
      <c r="U13" s="14" t="s">
        <v>218</v>
      </c>
      <c r="V13" s="14" t="s">
        <v>184</v>
      </c>
      <c r="W13" s="14" t="s">
        <v>185</v>
      </c>
      <c r="X13" s="14" t="s">
        <v>221</v>
      </c>
      <c r="Y13" s="14" t="s">
        <v>186</v>
      </c>
      <c r="Z13" s="14" t="s">
        <v>187</v>
      </c>
      <c r="AA13" s="14" t="s">
        <v>188</v>
      </c>
      <c r="AB13" s="14" t="s">
        <v>15</v>
      </c>
      <c r="AC13" s="20"/>
      <c r="AD13" s="20"/>
      <c r="AE13" s="20"/>
      <c r="AF13" s="20"/>
      <c r="AG13" s="20"/>
      <c r="AH13" s="20"/>
      <c r="AI13" s="20"/>
      <c r="AJ13" s="20"/>
      <c r="AK13" s="20"/>
      <c r="AL13" s="20"/>
      <c r="AM13" s="20"/>
    </row>
    <row r="14" spans="2:39" x14ac:dyDescent="0.25">
      <c r="B14" s="16">
        <v>1</v>
      </c>
      <c r="C14" s="9"/>
      <c r="D14" s="9"/>
      <c r="E14" s="16" t="s">
        <v>0</v>
      </c>
      <c r="F14" s="16"/>
      <c r="G14" s="16"/>
      <c r="H14" s="16" t="s">
        <v>0</v>
      </c>
      <c r="I14" s="16"/>
      <c r="J14" s="16" t="s">
        <v>0</v>
      </c>
      <c r="K14" s="16"/>
      <c r="L14" s="14" t="str">
        <f>IFERROR(RiskAssessment[[#This Row],[Likelihood]]*RiskAssessment[[#This Row],[Impact]],"Calculated")</f>
        <v>Calculated</v>
      </c>
      <c r="M14" s="14" t="str">
        <f>IF(L14="Calculated", "Calculated", IF(L14&gt;11, " HIGH",IF(L14&gt;4," MEDIUM"," LOW")))</f>
        <v>Calculated</v>
      </c>
      <c r="N14" s="16" t="s">
        <v>0</v>
      </c>
      <c r="O14" s="16"/>
      <c r="P14" s="16"/>
      <c r="Q14" s="86">
        <v>0</v>
      </c>
      <c r="R14" s="16"/>
      <c r="S14" s="16"/>
      <c r="T14" s="16"/>
      <c r="U14" s="16" t="s">
        <v>0</v>
      </c>
      <c r="V14" s="16" t="s">
        <v>0</v>
      </c>
      <c r="W14" s="16"/>
      <c r="X14" s="16" t="s">
        <v>0</v>
      </c>
      <c r="Y14" s="16"/>
      <c r="Z14" s="14" t="str">
        <f>IFERROR(RiskAssessment[[#This Row],[Post-Treatment Likelihood]]*RiskAssessment[[#This Row],[Post- Treatment Impact]],"Calculated")</f>
        <v>Calculated</v>
      </c>
      <c r="AA14" s="14" t="str">
        <f t="shared" ref="AA14:AA33" si="0">IF(Z14="Calculated", "Calculated", IF(Z14&gt;11, " HIGH",IF(Z14&gt;4," MEDIUM"," LOW")))</f>
        <v>Calculated</v>
      </c>
      <c r="AB14" s="16"/>
    </row>
    <row r="15" spans="2:39" x14ac:dyDescent="0.25">
      <c r="B15" s="16">
        <v>2</v>
      </c>
      <c r="C15" s="16"/>
      <c r="D15" s="9"/>
      <c r="E15" s="16" t="s">
        <v>0</v>
      </c>
      <c r="F15" s="16"/>
      <c r="G15" s="16"/>
      <c r="H15" s="16" t="s">
        <v>0</v>
      </c>
      <c r="I15" s="16"/>
      <c r="J15" s="16" t="s">
        <v>0</v>
      </c>
      <c r="K15" s="16"/>
      <c r="L15" s="14" t="str">
        <f>IFERROR(RiskAssessment[[#This Row],[Likelihood]]*RiskAssessment[[#This Row],[Impact]],"Calculated")</f>
        <v>Calculated</v>
      </c>
      <c r="M15" s="14" t="str">
        <f t="shared" ref="M15:M27" si="1">IF(L15="Calculated", "Calculated", IF(L15&gt;11, " HIGH",IF(L15&gt;4," MEDIUM"," LOW")))</f>
        <v>Calculated</v>
      </c>
      <c r="N15" s="16" t="s">
        <v>0</v>
      </c>
      <c r="O15" s="16"/>
      <c r="P15" s="16"/>
      <c r="Q15" s="86">
        <v>0</v>
      </c>
      <c r="R15" s="16"/>
      <c r="S15" s="16"/>
      <c r="T15" s="16"/>
      <c r="U15" s="16" t="s">
        <v>0</v>
      </c>
      <c r="V15" s="16" t="s">
        <v>0</v>
      </c>
      <c r="W15" s="16"/>
      <c r="X15" s="16" t="s">
        <v>0</v>
      </c>
      <c r="Y15" s="16"/>
      <c r="Z15" s="14" t="str">
        <f>IFERROR(RiskAssessment[[#This Row],[Post-Treatment Likelihood]]*RiskAssessment[[#This Row],[Post- Treatment Impact]],"Calculated")</f>
        <v>Calculated</v>
      </c>
      <c r="AA15" s="14" t="str">
        <f t="shared" si="0"/>
        <v>Calculated</v>
      </c>
      <c r="AB15" s="16"/>
    </row>
    <row r="16" spans="2:39" x14ac:dyDescent="0.25">
      <c r="B16" s="16">
        <v>3</v>
      </c>
      <c r="C16" s="16"/>
      <c r="D16" s="9"/>
      <c r="E16" s="16" t="s">
        <v>0</v>
      </c>
      <c r="F16" s="16"/>
      <c r="G16" s="16"/>
      <c r="H16" s="16" t="s">
        <v>0</v>
      </c>
      <c r="I16" s="16"/>
      <c r="J16" s="16" t="s">
        <v>0</v>
      </c>
      <c r="K16" s="16"/>
      <c r="L16" s="14" t="str">
        <f>IFERROR(RiskAssessment[[#This Row],[Likelihood]]*RiskAssessment[[#This Row],[Impact]],"Calculated")</f>
        <v>Calculated</v>
      </c>
      <c r="M16" s="14" t="str">
        <f t="shared" si="1"/>
        <v>Calculated</v>
      </c>
      <c r="N16" s="16" t="s">
        <v>0</v>
      </c>
      <c r="O16" s="16"/>
      <c r="P16" s="16"/>
      <c r="Q16" s="86">
        <v>0</v>
      </c>
      <c r="R16" s="16"/>
      <c r="S16" s="16"/>
      <c r="T16" s="16"/>
      <c r="U16" s="16" t="s">
        <v>0</v>
      </c>
      <c r="V16" s="16" t="s">
        <v>0</v>
      </c>
      <c r="W16" s="16"/>
      <c r="X16" s="16" t="s">
        <v>0</v>
      </c>
      <c r="Y16" s="16"/>
      <c r="Z16" s="14" t="str">
        <f>IFERROR(RiskAssessment[[#This Row],[Post-Treatment Likelihood]]*RiskAssessment[[#This Row],[Post- Treatment Impact]],"Calculated")</f>
        <v>Calculated</v>
      </c>
      <c r="AA16" s="14" t="str">
        <f t="shared" si="0"/>
        <v>Calculated</v>
      </c>
      <c r="AB16" s="16"/>
    </row>
    <row r="17" spans="2:28" x14ac:dyDescent="0.25">
      <c r="B17" s="16">
        <v>4</v>
      </c>
      <c r="C17" s="16"/>
      <c r="D17" s="9"/>
      <c r="E17" s="16" t="s">
        <v>0</v>
      </c>
      <c r="F17" s="16"/>
      <c r="G17" s="16"/>
      <c r="H17" s="16" t="s">
        <v>0</v>
      </c>
      <c r="I17" s="16"/>
      <c r="J17" s="16" t="s">
        <v>0</v>
      </c>
      <c r="K17" s="16"/>
      <c r="L17" s="14" t="str">
        <f>IFERROR(RiskAssessment[[#This Row],[Likelihood]]*RiskAssessment[[#This Row],[Impact]],"Calculated")</f>
        <v>Calculated</v>
      </c>
      <c r="M17" s="14" t="str">
        <f t="shared" si="1"/>
        <v>Calculated</v>
      </c>
      <c r="N17" s="16" t="s">
        <v>0</v>
      </c>
      <c r="O17" s="16"/>
      <c r="P17" s="16"/>
      <c r="Q17" s="86">
        <v>0</v>
      </c>
      <c r="R17" s="16"/>
      <c r="S17" s="16"/>
      <c r="T17" s="16"/>
      <c r="U17" s="16" t="s">
        <v>0</v>
      </c>
      <c r="V17" s="16" t="s">
        <v>0</v>
      </c>
      <c r="W17" s="16"/>
      <c r="X17" s="16" t="s">
        <v>0</v>
      </c>
      <c r="Y17" s="16"/>
      <c r="Z17" s="14" t="str">
        <f>IFERROR(RiskAssessment[[#This Row],[Post-Treatment Likelihood]]*RiskAssessment[[#This Row],[Post- Treatment Impact]],"Calculated")</f>
        <v>Calculated</v>
      </c>
      <c r="AA17" s="14" t="str">
        <f t="shared" si="0"/>
        <v>Calculated</v>
      </c>
      <c r="AB17" s="16"/>
    </row>
    <row r="18" spans="2:28" x14ac:dyDescent="0.25">
      <c r="B18" s="16">
        <v>5</v>
      </c>
      <c r="C18" s="16"/>
      <c r="D18" s="9"/>
      <c r="E18" s="16" t="s">
        <v>0</v>
      </c>
      <c r="F18" s="16"/>
      <c r="G18" s="16"/>
      <c r="H18" s="16" t="s">
        <v>0</v>
      </c>
      <c r="I18" s="16"/>
      <c r="J18" s="16" t="s">
        <v>0</v>
      </c>
      <c r="K18" s="16"/>
      <c r="L18" s="14" t="str">
        <f>IFERROR(RiskAssessment[[#This Row],[Likelihood]]*RiskAssessment[[#This Row],[Impact]],"Calculated")</f>
        <v>Calculated</v>
      </c>
      <c r="M18" s="14" t="str">
        <f t="shared" si="1"/>
        <v>Calculated</v>
      </c>
      <c r="N18" s="16" t="s">
        <v>0</v>
      </c>
      <c r="O18" s="16"/>
      <c r="P18" s="16"/>
      <c r="Q18" s="86">
        <v>0</v>
      </c>
      <c r="R18" s="16"/>
      <c r="S18" s="16"/>
      <c r="T18" s="16"/>
      <c r="U18" s="16" t="s">
        <v>0</v>
      </c>
      <c r="V18" s="16" t="s">
        <v>0</v>
      </c>
      <c r="W18" s="16"/>
      <c r="X18" s="16" t="s">
        <v>0</v>
      </c>
      <c r="Y18" s="16"/>
      <c r="Z18" s="14" t="str">
        <f>IFERROR(RiskAssessment[[#This Row],[Post-Treatment Likelihood]]*RiskAssessment[[#This Row],[Post- Treatment Impact]],"Calculated")</f>
        <v>Calculated</v>
      </c>
      <c r="AA18" s="14" t="str">
        <f t="shared" si="0"/>
        <v>Calculated</v>
      </c>
      <c r="AB18" s="16"/>
    </row>
    <row r="19" spans="2:28" x14ac:dyDescent="0.25">
      <c r="B19" s="16">
        <v>6</v>
      </c>
      <c r="C19" s="16"/>
      <c r="D19" s="9"/>
      <c r="E19" s="16" t="s">
        <v>0</v>
      </c>
      <c r="F19" s="16"/>
      <c r="G19" s="16"/>
      <c r="H19" s="16" t="s">
        <v>0</v>
      </c>
      <c r="I19" s="16"/>
      <c r="J19" s="16" t="s">
        <v>0</v>
      </c>
      <c r="K19" s="16"/>
      <c r="L19" s="14" t="str">
        <f>IFERROR(RiskAssessment[[#This Row],[Likelihood]]*RiskAssessment[[#This Row],[Impact]],"Calculated")</f>
        <v>Calculated</v>
      </c>
      <c r="M19" s="14" t="str">
        <f t="shared" si="1"/>
        <v>Calculated</v>
      </c>
      <c r="N19" s="16" t="s">
        <v>0</v>
      </c>
      <c r="O19" s="16"/>
      <c r="P19" s="16"/>
      <c r="Q19" s="86">
        <v>0</v>
      </c>
      <c r="R19" s="16"/>
      <c r="S19" s="16"/>
      <c r="T19" s="16"/>
      <c r="U19" s="16" t="s">
        <v>0</v>
      </c>
      <c r="V19" s="16" t="s">
        <v>0</v>
      </c>
      <c r="W19" s="16"/>
      <c r="X19" s="16" t="s">
        <v>0</v>
      </c>
      <c r="Y19" s="16"/>
      <c r="Z19" s="14" t="str">
        <f>IFERROR(RiskAssessment[[#This Row],[Post-Treatment Likelihood]]*RiskAssessment[[#This Row],[Post- Treatment Impact]],"Calculated")</f>
        <v>Calculated</v>
      </c>
      <c r="AA19" s="14" t="str">
        <f t="shared" si="0"/>
        <v>Calculated</v>
      </c>
      <c r="AB19" s="16"/>
    </row>
    <row r="20" spans="2:28" x14ac:dyDescent="0.25">
      <c r="B20" s="16">
        <v>7</v>
      </c>
      <c r="C20" s="16"/>
      <c r="D20" s="9"/>
      <c r="E20" s="16" t="s">
        <v>0</v>
      </c>
      <c r="F20" s="16"/>
      <c r="G20" s="16"/>
      <c r="H20" s="16" t="s">
        <v>0</v>
      </c>
      <c r="I20" s="16"/>
      <c r="J20" s="16" t="s">
        <v>0</v>
      </c>
      <c r="K20" s="16"/>
      <c r="L20" s="14" t="str">
        <f>IFERROR(RiskAssessment[[#This Row],[Likelihood]]*RiskAssessment[[#This Row],[Impact]],"Calculated")</f>
        <v>Calculated</v>
      </c>
      <c r="M20" s="14" t="str">
        <f t="shared" si="1"/>
        <v>Calculated</v>
      </c>
      <c r="N20" s="16" t="s">
        <v>0</v>
      </c>
      <c r="O20" s="16"/>
      <c r="P20" s="16"/>
      <c r="Q20" s="86">
        <v>0</v>
      </c>
      <c r="R20" s="16"/>
      <c r="S20" s="16"/>
      <c r="T20" s="16"/>
      <c r="U20" s="16" t="s">
        <v>0</v>
      </c>
      <c r="V20" s="16" t="s">
        <v>0</v>
      </c>
      <c r="W20" s="16"/>
      <c r="X20" s="16" t="s">
        <v>0</v>
      </c>
      <c r="Y20" s="16"/>
      <c r="Z20" s="14" t="str">
        <f>IFERROR(RiskAssessment[[#This Row],[Post-Treatment Likelihood]]*RiskAssessment[[#This Row],[Post- Treatment Impact]],"Calculated")</f>
        <v>Calculated</v>
      </c>
      <c r="AA20" s="14" t="str">
        <f t="shared" si="0"/>
        <v>Calculated</v>
      </c>
      <c r="AB20" s="16"/>
    </row>
    <row r="21" spans="2:28" x14ac:dyDescent="0.25">
      <c r="B21" s="16">
        <v>8</v>
      </c>
      <c r="C21" s="16"/>
      <c r="D21" s="9"/>
      <c r="E21" s="16" t="s">
        <v>0</v>
      </c>
      <c r="F21" s="16"/>
      <c r="G21" s="16"/>
      <c r="H21" s="16" t="s">
        <v>0</v>
      </c>
      <c r="I21" s="16"/>
      <c r="J21" s="16" t="s">
        <v>0</v>
      </c>
      <c r="K21" s="16"/>
      <c r="L21" s="14" t="str">
        <f>IFERROR(RiskAssessment[[#This Row],[Likelihood]]*RiskAssessment[[#This Row],[Impact]],"Calculated")</f>
        <v>Calculated</v>
      </c>
      <c r="M21" s="14" t="str">
        <f t="shared" si="1"/>
        <v>Calculated</v>
      </c>
      <c r="N21" s="16" t="s">
        <v>0</v>
      </c>
      <c r="O21" s="16"/>
      <c r="P21" s="16"/>
      <c r="Q21" s="86">
        <v>0</v>
      </c>
      <c r="R21" s="16"/>
      <c r="S21" s="16"/>
      <c r="T21" s="16"/>
      <c r="U21" s="16" t="s">
        <v>0</v>
      </c>
      <c r="V21" s="16" t="s">
        <v>0</v>
      </c>
      <c r="W21" s="16"/>
      <c r="X21" s="16" t="s">
        <v>0</v>
      </c>
      <c r="Y21" s="16"/>
      <c r="Z21" s="14" t="str">
        <f>IFERROR(RiskAssessment[[#This Row],[Post-Treatment Likelihood]]*RiskAssessment[[#This Row],[Post- Treatment Impact]],"Calculated")</f>
        <v>Calculated</v>
      </c>
      <c r="AA21" s="14" t="str">
        <f t="shared" si="0"/>
        <v>Calculated</v>
      </c>
      <c r="AB21" s="16"/>
    </row>
    <row r="22" spans="2:28" x14ac:dyDescent="0.25">
      <c r="B22" s="16">
        <v>9</v>
      </c>
      <c r="C22" s="16"/>
      <c r="D22" s="9"/>
      <c r="E22" s="16" t="s">
        <v>0</v>
      </c>
      <c r="F22" s="16"/>
      <c r="G22" s="16"/>
      <c r="H22" s="16" t="s">
        <v>0</v>
      </c>
      <c r="I22" s="16"/>
      <c r="J22" s="16" t="s">
        <v>0</v>
      </c>
      <c r="K22" s="16"/>
      <c r="L22" s="14" t="str">
        <f>IFERROR(RiskAssessment[[#This Row],[Likelihood]]*RiskAssessment[[#This Row],[Impact]],"Calculated")</f>
        <v>Calculated</v>
      </c>
      <c r="M22" s="14" t="str">
        <f t="shared" si="1"/>
        <v>Calculated</v>
      </c>
      <c r="N22" s="16" t="s">
        <v>0</v>
      </c>
      <c r="O22" s="16"/>
      <c r="P22" s="16"/>
      <c r="Q22" s="86">
        <v>0</v>
      </c>
      <c r="R22" s="16"/>
      <c r="S22" s="16"/>
      <c r="T22" s="16"/>
      <c r="U22" s="16" t="s">
        <v>0</v>
      </c>
      <c r="V22" s="16" t="s">
        <v>0</v>
      </c>
      <c r="W22" s="16"/>
      <c r="X22" s="16" t="s">
        <v>0</v>
      </c>
      <c r="Y22" s="16"/>
      <c r="Z22" s="14" t="str">
        <f>IFERROR(RiskAssessment[[#This Row],[Post-Treatment Likelihood]]*RiskAssessment[[#This Row],[Post- Treatment Impact]],"Calculated")</f>
        <v>Calculated</v>
      </c>
      <c r="AA22" s="14" t="str">
        <f t="shared" si="0"/>
        <v>Calculated</v>
      </c>
      <c r="AB22" s="16"/>
    </row>
    <row r="23" spans="2:28" x14ac:dyDescent="0.25">
      <c r="B23" s="16">
        <v>10</v>
      </c>
      <c r="C23" s="16"/>
      <c r="D23" s="9"/>
      <c r="E23" s="16" t="s">
        <v>0</v>
      </c>
      <c r="F23" s="16"/>
      <c r="G23" s="16"/>
      <c r="H23" s="16" t="s">
        <v>0</v>
      </c>
      <c r="I23" s="16"/>
      <c r="J23" s="16" t="s">
        <v>0</v>
      </c>
      <c r="K23" s="16"/>
      <c r="L23" s="14" t="str">
        <f>IFERROR(RiskAssessment[[#This Row],[Likelihood]]*RiskAssessment[[#This Row],[Impact]],"Calculated")</f>
        <v>Calculated</v>
      </c>
      <c r="M23" s="14" t="str">
        <f t="shared" si="1"/>
        <v>Calculated</v>
      </c>
      <c r="N23" s="16" t="s">
        <v>0</v>
      </c>
      <c r="O23" s="16"/>
      <c r="P23" s="16"/>
      <c r="Q23" s="86">
        <v>0</v>
      </c>
      <c r="R23" s="16"/>
      <c r="S23" s="16"/>
      <c r="T23" s="16"/>
      <c r="U23" s="16" t="s">
        <v>0</v>
      </c>
      <c r="V23" s="16" t="s">
        <v>0</v>
      </c>
      <c r="W23" s="16"/>
      <c r="X23" s="16" t="s">
        <v>0</v>
      </c>
      <c r="Y23" s="16"/>
      <c r="Z23" s="14" t="str">
        <f>IFERROR(RiskAssessment[[#This Row],[Post-Treatment Likelihood]]*RiskAssessment[[#This Row],[Post- Treatment Impact]],"Calculated")</f>
        <v>Calculated</v>
      </c>
      <c r="AA23" s="14" t="str">
        <f t="shared" si="0"/>
        <v>Calculated</v>
      </c>
      <c r="AB23" s="16"/>
    </row>
    <row r="24" spans="2:28" x14ac:dyDescent="0.25">
      <c r="B24" s="16">
        <v>11</v>
      </c>
      <c r="C24" s="16"/>
      <c r="D24" s="16"/>
      <c r="E24" s="16" t="s">
        <v>0</v>
      </c>
      <c r="F24" s="16"/>
      <c r="G24" s="16"/>
      <c r="H24" s="16" t="s">
        <v>0</v>
      </c>
      <c r="I24" s="16"/>
      <c r="J24" s="16" t="s">
        <v>0</v>
      </c>
      <c r="K24" s="16"/>
      <c r="L24" s="14" t="str">
        <f>IFERROR(RiskAssessment[[#This Row],[Likelihood]]*RiskAssessment[[#This Row],[Impact]],"Calculated")</f>
        <v>Calculated</v>
      </c>
      <c r="M24" s="14" t="str">
        <f t="shared" si="1"/>
        <v>Calculated</v>
      </c>
      <c r="N24" s="16" t="s">
        <v>0</v>
      </c>
      <c r="O24" s="16"/>
      <c r="P24" s="16"/>
      <c r="Q24" s="86">
        <v>0</v>
      </c>
      <c r="R24" s="16"/>
      <c r="S24" s="16"/>
      <c r="T24" s="16"/>
      <c r="U24" s="16" t="s">
        <v>0</v>
      </c>
      <c r="V24" s="16" t="s">
        <v>0</v>
      </c>
      <c r="W24" s="16"/>
      <c r="X24" s="16" t="s">
        <v>0</v>
      </c>
      <c r="Y24" s="16"/>
      <c r="Z24" s="14" t="str">
        <f>IFERROR(RiskAssessment[[#This Row],[Post-Treatment Likelihood]]*RiskAssessment[[#This Row],[Post- Treatment Impact]],"Calculated")</f>
        <v>Calculated</v>
      </c>
      <c r="AA24" s="14" t="str">
        <f t="shared" si="0"/>
        <v>Calculated</v>
      </c>
      <c r="AB24" s="16"/>
    </row>
    <row r="25" spans="2:28" x14ac:dyDescent="0.25">
      <c r="B25" s="16">
        <v>12</v>
      </c>
      <c r="C25" s="16"/>
      <c r="D25" s="16"/>
      <c r="E25" s="16" t="s">
        <v>0</v>
      </c>
      <c r="F25" s="16"/>
      <c r="G25" s="16"/>
      <c r="H25" s="16" t="s">
        <v>0</v>
      </c>
      <c r="I25" s="16"/>
      <c r="J25" s="16" t="s">
        <v>0</v>
      </c>
      <c r="K25" s="16"/>
      <c r="L25" s="14" t="str">
        <f>IFERROR(RiskAssessment[[#This Row],[Likelihood]]*RiskAssessment[[#This Row],[Impact]],"Calculated")</f>
        <v>Calculated</v>
      </c>
      <c r="M25" s="14" t="str">
        <f t="shared" si="1"/>
        <v>Calculated</v>
      </c>
      <c r="N25" s="16" t="s">
        <v>0</v>
      </c>
      <c r="O25" s="16"/>
      <c r="P25" s="16"/>
      <c r="Q25" s="86">
        <v>0</v>
      </c>
      <c r="R25" s="16"/>
      <c r="S25" s="16"/>
      <c r="T25" s="16"/>
      <c r="U25" s="16" t="s">
        <v>0</v>
      </c>
      <c r="V25" s="16" t="s">
        <v>0</v>
      </c>
      <c r="W25" s="16"/>
      <c r="X25" s="16" t="s">
        <v>0</v>
      </c>
      <c r="Y25" s="16"/>
      <c r="Z25" s="14" t="str">
        <f>IFERROR(RiskAssessment[[#This Row],[Post-Treatment Likelihood]]*RiskAssessment[[#This Row],[Post- Treatment Impact]],"Calculated")</f>
        <v>Calculated</v>
      </c>
      <c r="AA25" s="14" t="str">
        <f t="shared" si="0"/>
        <v>Calculated</v>
      </c>
      <c r="AB25" s="16"/>
    </row>
    <row r="26" spans="2:28" x14ac:dyDescent="0.25">
      <c r="B26" s="16">
        <v>13</v>
      </c>
      <c r="C26" s="16"/>
      <c r="D26" s="16"/>
      <c r="E26" s="16" t="s">
        <v>0</v>
      </c>
      <c r="F26" s="16"/>
      <c r="G26" s="16"/>
      <c r="H26" s="16" t="s">
        <v>0</v>
      </c>
      <c r="I26" s="16"/>
      <c r="J26" s="16" t="s">
        <v>0</v>
      </c>
      <c r="K26" s="16"/>
      <c r="L26" s="14" t="str">
        <f>IFERROR(RiskAssessment[[#This Row],[Likelihood]]*RiskAssessment[[#This Row],[Impact]],"Calculated")</f>
        <v>Calculated</v>
      </c>
      <c r="M26" s="14" t="str">
        <f t="shared" si="1"/>
        <v>Calculated</v>
      </c>
      <c r="N26" s="16" t="s">
        <v>0</v>
      </c>
      <c r="O26" s="16"/>
      <c r="P26" s="16"/>
      <c r="Q26" s="86">
        <v>0</v>
      </c>
      <c r="R26" s="16"/>
      <c r="S26" s="33"/>
      <c r="T26" s="16"/>
      <c r="U26" s="16" t="s">
        <v>0</v>
      </c>
      <c r="V26" s="16" t="s">
        <v>0</v>
      </c>
      <c r="W26" s="16"/>
      <c r="X26" s="16" t="s">
        <v>0</v>
      </c>
      <c r="Y26" s="16"/>
      <c r="Z26" s="14" t="str">
        <f>IFERROR(RiskAssessment[[#This Row],[Post-Treatment Likelihood]]*RiskAssessment[[#This Row],[Post- Treatment Impact]],"Calculated")</f>
        <v>Calculated</v>
      </c>
      <c r="AA26" s="14" t="str">
        <f t="shared" si="0"/>
        <v>Calculated</v>
      </c>
      <c r="AB26" s="16"/>
    </row>
    <row r="27" spans="2:28" x14ac:dyDescent="0.25">
      <c r="B27" s="16">
        <v>14</v>
      </c>
      <c r="C27" s="16"/>
      <c r="D27" s="16"/>
      <c r="E27" s="16" t="s">
        <v>0</v>
      </c>
      <c r="F27" s="16"/>
      <c r="G27" s="16"/>
      <c r="H27" s="16" t="s">
        <v>0</v>
      </c>
      <c r="I27" s="16"/>
      <c r="J27" s="16" t="s">
        <v>0</v>
      </c>
      <c r="K27" s="16"/>
      <c r="L27" s="14" t="str">
        <f>IFERROR(RiskAssessment[[#This Row],[Likelihood]]*RiskAssessment[[#This Row],[Impact]],"Calculated")</f>
        <v>Calculated</v>
      </c>
      <c r="M27" s="14" t="str">
        <f t="shared" si="1"/>
        <v>Calculated</v>
      </c>
      <c r="N27" s="16" t="s">
        <v>0</v>
      </c>
      <c r="O27" s="16"/>
      <c r="P27" s="16"/>
      <c r="Q27" s="86">
        <v>0</v>
      </c>
      <c r="R27" s="16"/>
      <c r="S27" s="16"/>
      <c r="T27" s="16"/>
      <c r="U27" s="16" t="s">
        <v>0</v>
      </c>
      <c r="V27" s="16" t="s">
        <v>0</v>
      </c>
      <c r="W27" s="16"/>
      <c r="X27" s="16" t="s">
        <v>0</v>
      </c>
      <c r="Y27" s="16"/>
      <c r="Z27" s="14" t="str">
        <f>IFERROR(RiskAssessment[[#This Row],[Post-Treatment Likelihood]]*RiskAssessment[[#This Row],[Post- Treatment Impact]],"Calculated")</f>
        <v>Calculated</v>
      </c>
      <c r="AA27" s="14" t="str">
        <f t="shared" si="0"/>
        <v>Calculated</v>
      </c>
      <c r="AB27" s="16"/>
    </row>
    <row r="28" spans="2:28" x14ac:dyDescent="0.25">
      <c r="B28" s="16">
        <v>15</v>
      </c>
      <c r="C28" s="16"/>
      <c r="D28" s="16"/>
      <c r="E28" s="16" t="s">
        <v>0</v>
      </c>
      <c r="F28" s="16"/>
      <c r="G28" s="16"/>
      <c r="H28" s="16" t="s">
        <v>0</v>
      </c>
      <c r="I28" s="16"/>
      <c r="J28" s="16" t="s">
        <v>0</v>
      </c>
      <c r="K28" s="16"/>
      <c r="L28" s="14" t="str">
        <f>IFERROR(RiskAssessment[[#This Row],[Likelihood]]*RiskAssessment[[#This Row],[Impact]],"Calculated")</f>
        <v>Calculated</v>
      </c>
      <c r="M28" s="14" t="str">
        <f t="shared" ref="M28:M33" si="2">IF(L28="Calculated", "Calculated", IF(L28&gt;11, " HIGH",IF(L28&gt;4," MEDIUM"," LOW")))</f>
        <v>Calculated</v>
      </c>
      <c r="N28" s="16" t="s">
        <v>0</v>
      </c>
      <c r="O28" s="16"/>
      <c r="P28" s="16"/>
      <c r="Q28" s="86">
        <v>0</v>
      </c>
      <c r="R28" s="16"/>
      <c r="S28" s="16"/>
      <c r="T28" s="16"/>
      <c r="U28" s="16" t="s">
        <v>0</v>
      </c>
      <c r="V28" s="16" t="s">
        <v>0</v>
      </c>
      <c r="W28" s="16"/>
      <c r="X28" s="16" t="s">
        <v>0</v>
      </c>
      <c r="Y28" s="16"/>
      <c r="Z28" s="14" t="str">
        <f>IFERROR(RiskAssessment[[#This Row],[Post-Treatment Likelihood]]*RiskAssessment[[#This Row],[Post- Treatment Impact]],"Calculated")</f>
        <v>Calculated</v>
      </c>
      <c r="AA28" s="14" t="str">
        <f t="shared" si="0"/>
        <v>Calculated</v>
      </c>
      <c r="AB28" s="16"/>
    </row>
    <row r="29" spans="2:28" x14ac:dyDescent="0.25">
      <c r="B29" s="16">
        <v>16</v>
      </c>
      <c r="C29" s="16"/>
      <c r="D29" s="16"/>
      <c r="E29" s="16" t="s">
        <v>0</v>
      </c>
      <c r="F29" s="16"/>
      <c r="G29" s="16"/>
      <c r="H29" s="16" t="s">
        <v>0</v>
      </c>
      <c r="I29" s="16"/>
      <c r="J29" s="16" t="s">
        <v>0</v>
      </c>
      <c r="K29" s="16"/>
      <c r="L29" s="14" t="str">
        <f>IFERROR(RiskAssessment[[#This Row],[Likelihood]]*RiskAssessment[[#This Row],[Impact]],"Calculated")</f>
        <v>Calculated</v>
      </c>
      <c r="M29" s="14" t="str">
        <f t="shared" si="2"/>
        <v>Calculated</v>
      </c>
      <c r="N29" s="16" t="s">
        <v>0</v>
      </c>
      <c r="O29" s="16"/>
      <c r="P29" s="16"/>
      <c r="Q29" s="86">
        <v>0</v>
      </c>
      <c r="R29" s="16"/>
      <c r="S29" s="16"/>
      <c r="T29" s="16"/>
      <c r="U29" s="16" t="s">
        <v>0</v>
      </c>
      <c r="V29" s="16" t="s">
        <v>0</v>
      </c>
      <c r="W29" s="16"/>
      <c r="X29" s="16" t="s">
        <v>0</v>
      </c>
      <c r="Y29" s="16"/>
      <c r="Z29" s="14" t="str">
        <f>IFERROR(RiskAssessment[[#This Row],[Post-Treatment Likelihood]]*RiskAssessment[[#This Row],[Post- Treatment Impact]],"Calculated")</f>
        <v>Calculated</v>
      </c>
      <c r="AA29" s="14" t="str">
        <f t="shared" si="0"/>
        <v>Calculated</v>
      </c>
      <c r="AB29" s="16"/>
    </row>
    <row r="30" spans="2:28" x14ac:dyDescent="0.25">
      <c r="B30" s="16">
        <v>17</v>
      </c>
      <c r="C30" s="16"/>
      <c r="D30" s="16"/>
      <c r="E30" s="16" t="s">
        <v>0</v>
      </c>
      <c r="F30" s="16"/>
      <c r="G30" s="16"/>
      <c r="H30" s="16" t="s">
        <v>0</v>
      </c>
      <c r="I30" s="16"/>
      <c r="J30" s="16" t="s">
        <v>0</v>
      </c>
      <c r="K30" s="16"/>
      <c r="L30" s="14" t="str">
        <f>IFERROR(RiskAssessment[[#This Row],[Likelihood]]*RiskAssessment[[#This Row],[Impact]],"Calculated")</f>
        <v>Calculated</v>
      </c>
      <c r="M30" s="14" t="str">
        <f t="shared" si="2"/>
        <v>Calculated</v>
      </c>
      <c r="N30" s="16" t="s">
        <v>0</v>
      </c>
      <c r="O30" s="16"/>
      <c r="P30" s="16"/>
      <c r="Q30" s="86">
        <v>0</v>
      </c>
      <c r="R30" s="16"/>
      <c r="S30" s="16"/>
      <c r="T30" s="16"/>
      <c r="U30" s="16" t="s">
        <v>0</v>
      </c>
      <c r="V30" s="16" t="s">
        <v>0</v>
      </c>
      <c r="W30" s="16"/>
      <c r="X30" s="16" t="s">
        <v>0</v>
      </c>
      <c r="Y30" s="16"/>
      <c r="Z30" s="14" t="str">
        <f>IFERROR(RiskAssessment[[#This Row],[Post-Treatment Likelihood]]*RiskAssessment[[#This Row],[Post- Treatment Impact]],"Calculated")</f>
        <v>Calculated</v>
      </c>
      <c r="AA30" s="14" t="str">
        <f t="shared" si="0"/>
        <v>Calculated</v>
      </c>
      <c r="AB30" s="16"/>
    </row>
    <row r="31" spans="2:28" x14ac:dyDescent="0.25">
      <c r="B31" s="16">
        <v>18</v>
      </c>
      <c r="C31" s="16"/>
      <c r="D31" s="16"/>
      <c r="E31" s="16" t="s">
        <v>0</v>
      </c>
      <c r="F31" s="16"/>
      <c r="G31" s="16"/>
      <c r="H31" s="16" t="s">
        <v>0</v>
      </c>
      <c r="I31" s="16"/>
      <c r="J31" s="16" t="s">
        <v>0</v>
      </c>
      <c r="K31" s="16"/>
      <c r="L31" s="14" t="str">
        <f>IFERROR(RiskAssessment[[#This Row],[Likelihood]]*RiskAssessment[[#This Row],[Impact]],"Calculated")</f>
        <v>Calculated</v>
      </c>
      <c r="M31" s="14" t="str">
        <f t="shared" si="2"/>
        <v>Calculated</v>
      </c>
      <c r="N31" s="16" t="s">
        <v>0</v>
      </c>
      <c r="O31" s="16"/>
      <c r="P31" s="16"/>
      <c r="Q31" s="86">
        <v>0</v>
      </c>
      <c r="R31" s="16"/>
      <c r="S31" s="16"/>
      <c r="T31" s="16"/>
      <c r="U31" s="16" t="s">
        <v>0</v>
      </c>
      <c r="V31" s="16" t="s">
        <v>0</v>
      </c>
      <c r="W31" s="16"/>
      <c r="X31" s="16" t="s">
        <v>0</v>
      </c>
      <c r="Y31" s="16"/>
      <c r="Z31" s="14" t="str">
        <f>IFERROR(RiskAssessment[[#This Row],[Post-Treatment Likelihood]]*RiskAssessment[[#This Row],[Post- Treatment Impact]],"Calculated")</f>
        <v>Calculated</v>
      </c>
      <c r="AA31" s="14" t="str">
        <f t="shared" si="0"/>
        <v>Calculated</v>
      </c>
      <c r="AB31" s="16"/>
    </row>
    <row r="32" spans="2:28" x14ac:dyDescent="0.25">
      <c r="B32" s="16">
        <v>19</v>
      </c>
      <c r="C32" s="16"/>
      <c r="D32" s="16"/>
      <c r="E32" s="16" t="s">
        <v>0</v>
      </c>
      <c r="F32" s="16"/>
      <c r="G32" s="16"/>
      <c r="H32" s="16" t="s">
        <v>0</v>
      </c>
      <c r="I32" s="16"/>
      <c r="J32" s="16" t="s">
        <v>0</v>
      </c>
      <c r="K32" s="16"/>
      <c r="L32" s="14" t="str">
        <f>IFERROR(RiskAssessment[[#This Row],[Likelihood]]*RiskAssessment[[#This Row],[Impact]],"Calculated")</f>
        <v>Calculated</v>
      </c>
      <c r="M32" s="14" t="str">
        <f t="shared" si="2"/>
        <v>Calculated</v>
      </c>
      <c r="N32" s="16" t="s">
        <v>0</v>
      </c>
      <c r="O32" s="16"/>
      <c r="P32" s="16"/>
      <c r="Q32" s="86">
        <v>0</v>
      </c>
      <c r="R32" s="16"/>
      <c r="S32" s="16"/>
      <c r="T32" s="16"/>
      <c r="U32" s="16" t="s">
        <v>0</v>
      </c>
      <c r="V32" s="16" t="s">
        <v>0</v>
      </c>
      <c r="W32" s="16"/>
      <c r="X32" s="16" t="s">
        <v>0</v>
      </c>
      <c r="Y32" s="16"/>
      <c r="Z32" s="14" t="str">
        <f>IFERROR(RiskAssessment[[#This Row],[Post-Treatment Likelihood]]*RiskAssessment[[#This Row],[Post- Treatment Impact]],"Calculated")</f>
        <v>Calculated</v>
      </c>
      <c r="AA32" s="14" t="str">
        <f t="shared" si="0"/>
        <v>Calculated</v>
      </c>
      <c r="AB32" s="16"/>
    </row>
    <row r="33" spans="2:28" x14ac:dyDescent="0.25">
      <c r="B33" s="16">
        <v>20</v>
      </c>
      <c r="C33" s="16"/>
      <c r="D33" s="16"/>
      <c r="E33" s="16" t="s">
        <v>0</v>
      </c>
      <c r="F33" s="16"/>
      <c r="G33" s="16"/>
      <c r="H33" s="16" t="s">
        <v>0</v>
      </c>
      <c r="I33" s="16"/>
      <c r="J33" s="16" t="s">
        <v>0</v>
      </c>
      <c r="K33" s="16"/>
      <c r="L33" s="14" t="str">
        <f>IFERROR(RiskAssessment[[#This Row],[Likelihood]]*RiskAssessment[[#This Row],[Impact]],"Calculated")</f>
        <v>Calculated</v>
      </c>
      <c r="M33" s="14" t="str">
        <f t="shared" si="2"/>
        <v>Calculated</v>
      </c>
      <c r="N33" s="16" t="s">
        <v>0</v>
      </c>
      <c r="O33" s="16"/>
      <c r="P33" s="16"/>
      <c r="Q33" s="86">
        <v>0</v>
      </c>
      <c r="R33" s="16"/>
      <c r="S33" s="16"/>
      <c r="T33" s="16"/>
      <c r="U33" s="16" t="s">
        <v>0</v>
      </c>
      <c r="V33" s="16" t="s">
        <v>0</v>
      </c>
      <c r="W33" s="16"/>
      <c r="X33" s="16" t="s">
        <v>0</v>
      </c>
      <c r="Y33" s="16"/>
      <c r="Z33" s="14" t="str">
        <f>IFERROR(RiskAssessment[[#This Row],[Post-Treatment Likelihood]]*RiskAssessment[[#This Row],[Post- Treatment Impact]],"Calculated")</f>
        <v>Calculated</v>
      </c>
      <c r="AA33" s="14" t="str">
        <f t="shared" si="0"/>
        <v>Calculated</v>
      </c>
      <c r="AB33" s="16"/>
    </row>
  </sheetData>
  <sheetProtection selectLockedCells="1" autoFilter="0"/>
  <mergeCells count="5">
    <mergeCell ref="B12:F12"/>
    <mergeCell ref="G12:M12"/>
    <mergeCell ref="N12:T12"/>
    <mergeCell ref="U12:AA12"/>
    <mergeCell ref="B9:G9"/>
  </mergeCells>
  <conditionalFormatting sqref="M14:M33 AA14:AA33">
    <cfRule type="cellIs" dxfId="159" priority="41" operator="equal">
      <formula>" HIGH"</formula>
    </cfRule>
    <cfRule type="cellIs" dxfId="158" priority="42" operator="equal">
      <formula>" MEDIUM"</formula>
    </cfRule>
    <cfRule type="cellIs" dxfId="157" priority="43" operator="equal">
      <formula>" LOW"</formula>
    </cfRule>
  </conditionalFormatting>
  <conditionalFormatting sqref="O14:Z33">
    <cfRule type="expression" dxfId="156" priority="4">
      <formula>$N14="Accept"</formula>
    </cfRule>
  </conditionalFormatting>
  <pageMargins left="0.70866141732283472" right="0.70866141732283472" top="0.74803149606299213" bottom="0.74803149606299213" header="0.31496062992125984" footer="0.31496062992125984"/>
  <pageSetup paperSize="9" scale="31" fitToHeight="0" orientation="landscape" horizontalDpi="360" verticalDpi="360" r:id="rId1"/>
  <headerFooter>
    <oddFooter>&amp;L&amp;D&amp;CPage &amp;P of &amp;N&amp;R[Insert classification]</oddFooter>
  </headerFooter>
  <colBreaks count="2" manualBreakCount="2">
    <brk id="13" max="1048575" man="1"/>
    <brk id="20" max="1048575" man="1"/>
  </colBreaks>
  <drawing r:id="rId2"/>
  <legacyDrawing r:id="rId3"/>
  <tableParts count="1">
    <tablePart r:id="rId4"/>
  </tableParts>
  <extLst>
    <ext xmlns:x14="http://schemas.microsoft.com/office/spreadsheetml/2009/9/main" uri="{CCE6A557-97BC-4b89-ADB6-D9C93CAAB3DF}">
      <x14:dataValidations xmlns:xm="http://schemas.microsoft.com/office/excel/2006/main" count="4">
        <x14:dataValidation type="list" allowBlank="1" showInputMessage="1" showErrorMessage="1" xr:uid="{90F55BBA-50DB-46BC-A873-B32D17F560EC}">
          <x14:formula1>
            <xm:f>'Selection Tables'!$B$16:$B$23</xm:f>
          </x14:formula1>
          <xm:sqref>E14:E33</xm:sqref>
        </x14:dataValidation>
        <x14:dataValidation type="list" allowBlank="1" showInputMessage="1" showErrorMessage="1" xr:uid="{AA71F27B-BEEA-44C0-9EFD-D27E865F40A9}">
          <x14:formula1>
            <xm:f>'Selection Tables'!$B$7:$B$12</xm:f>
          </x14:formula1>
          <xm:sqref>V14:V33 J14:J33 H14:H33 X14:X33</xm:sqref>
        </x14:dataValidation>
        <x14:dataValidation type="list" allowBlank="1" showInputMessage="1" showErrorMessage="1" promptTitle="If Choosing Accept" prompt="If choosing to Accept the risk, please ensure that the post-treatment likelihood and impact are set to pre-treatment values." xr:uid="{9360A65B-F868-4364-A0FC-AEB79C1623C4}">
          <x14:formula1>
            <xm:f>'Selection Tables'!$D$7:$D$11</xm:f>
          </x14:formula1>
          <xm:sqref>N14:N33</xm:sqref>
        </x14:dataValidation>
        <x14:dataValidation type="list" allowBlank="1" showInputMessage="1" showErrorMessage="1" xr:uid="{C7CE1ACB-5AD7-46D5-8264-7DB95B01EF21}">
          <x14:formula1>
            <xm:f>'Selection Tables'!$D$16:$D$20</xm:f>
          </x14:formula1>
          <xm:sqref>U14:U33</xm:sqref>
        </x14:dataValidation>
      </x14:dataValidations>
    </ext>
    <ext xmlns:x15="http://schemas.microsoft.com/office/spreadsheetml/2010/11/main" uri="{3A4CF648-6AED-40f4-86FF-DC5316D8AED3}">
      <x14:slicerList xmlns:x14="http://schemas.microsoft.com/office/spreadsheetml/2009/9/main">
        <x14:slicer r:id="rId5"/>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0FBC7-2B96-4ADE-AC5A-339294D04541}">
  <sheetPr codeName="Sheet4">
    <pageSetUpPr fitToPage="1"/>
  </sheetPr>
  <dimension ref="B8:AI71"/>
  <sheetViews>
    <sheetView showGridLines="0" zoomScaleNormal="100" workbookViewId="0"/>
  </sheetViews>
  <sheetFormatPr defaultRowHeight="15" x14ac:dyDescent="0.25"/>
  <cols>
    <col min="1" max="1" width="2.85546875" customWidth="1"/>
    <col min="2" max="2" width="7.7109375" customWidth="1"/>
    <col min="3" max="8" width="13.7109375" customWidth="1"/>
    <col min="9" max="11" width="8.7109375" customWidth="1"/>
    <col min="12" max="12" width="7.7109375" customWidth="1"/>
    <col min="13" max="19" width="8.7109375" customWidth="1"/>
    <col min="20" max="20" width="7.7109375" customWidth="1"/>
    <col min="21" max="26" width="8.7109375" customWidth="1"/>
  </cols>
  <sheetData>
    <row r="8" spans="2:35" ht="21" x14ac:dyDescent="0.35">
      <c r="B8" s="32" t="s">
        <v>431</v>
      </c>
      <c r="AA8" s="58"/>
      <c r="AB8" s="58"/>
      <c r="AC8" s="58"/>
      <c r="AD8" s="58"/>
      <c r="AE8" s="58"/>
      <c r="AF8" s="58"/>
      <c r="AG8" s="58"/>
      <c r="AH8" s="58"/>
      <c r="AI8" s="58"/>
    </row>
    <row r="9" spans="2:35" ht="15" customHeight="1" x14ac:dyDescent="0.25">
      <c r="B9" s="11" t="s">
        <v>270</v>
      </c>
    </row>
    <row r="11" spans="2:35" ht="20.100000000000001" customHeight="1" x14ac:dyDescent="0.3">
      <c r="B11" s="59" t="s">
        <v>238</v>
      </c>
      <c r="C11" s="60"/>
      <c r="D11" s="60"/>
      <c r="E11" s="60"/>
      <c r="F11" s="60"/>
      <c r="G11" s="60"/>
      <c r="H11" s="60"/>
      <c r="I11" s="61"/>
      <c r="J11" s="61"/>
      <c r="K11" s="61"/>
      <c r="L11" s="61"/>
      <c r="M11" s="60"/>
      <c r="N11" s="60"/>
      <c r="O11" s="60"/>
      <c r="P11" s="60"/>
      <c r="Q11" s="60"/>
      <c r="R11" s="60"/>
      <c r="S11" s="60"/>
      <c r="T11" s="60"/>
      <c r="U11" s="60"/>
      <c r="V11" s="60"/>
      <c r="W11" s="60"/>
      <c r="X11" s="60"/>
      <c r="Y11" s="60"/>
      <c r="Z11" s="60"/>
      <c r="AE11" s="58"/>
      <c r="AF11" s="58"/>
      <c r="AG11" s="58"/>
      <c r="AH11" s="58"/>
      <c r="AI11" s="58"/>
    </row>
    <row r="12" spans="2:35" ht="15" customHeight="1" x14ac:dyDescent="0.25">
      <c r="I12" s="2"/>
      <c r="J12" s="2"/>
      <c r="K12" s="2"/>
      <c r="L12" s="2"/>
      <c r="M12" s="3"/>
      <c r="N12" s="3"/>
      <c r="O12" s="3"/>
    </row>
    <row r="13" spans="2:35" ht="15" customHeight="1" x14ac:dyDescent="0.25">
      <c r="I13" s="2"/>
      <c r="J13" s="2"/>
      <c r="K13" s="2"/>
      <c r="L13" s="2"/>
    </row>
    <row r="14" spans="2:35" ht="15" customHeight="1" x14ac:dyDescent="0.25">
      <c r="I14" s="2"/>
      <c r="J14" s="2"/>
      <c r="K14" s="2"/>
      <c r="L14" s="2"/>
    </row>
    <row r="15" spans="2:35" ht="15" customHeight="1" x14ac:dyDescent="0.25">
      <c r="I15" s="2"/>
      <c r="J15" s="2"/>
      <c r="K15" s="2"/>
      <c r="L15" s="2"/>
    </row>
    <row r="16" spans="2:35" ht="15" customHeight="1" x14ac:dyDescent="0.25">
      <c r="I16" s="2"/>
      <c r="J16" s="2"/>
      <c r="K16" s="2"/>
      <c r="L16" s="2"/>
    </row>
    <row r="17" spans="9:12" ht="15" customHeight="1" x14ac:dyDescent="0.25">
      <c r="I17" s="2"/>
      <c r="J17" s="2"/>
      <c r="K17" s="2"/>
      <c r="L17" s="2"/>
    </row>
    <row r="18" spans="9:12" ht="15" customHeight="1" x14ac:dyDescent="0.25">
      <c r="I18" s="2"/>
      <c r="J18" s="2"/>
      <c r="K18" s="2"/>
      <c r="L18" s="2"/>
    </row>
    <row r="19" spans="9:12" ht="15" customHeight="1" x14ac:dyDescent="0.25">
      <c r="I19" s="2"/>
      <c r="J19" s="2"/>
      <c r="K19" s="2"/>
      <c r="L19" s="2"/>
    </row>
    <row r="20" spans="9:12" ht="15" customHeight="1" x14ac:dyDescent="0.25">
      <c r="I20" s="2"/>
      <c r="J20" s="2"/>
      <c r="K20" s="2"/>
      <c r="L20" s="2"/>
    </row>
    <row r="21" spans="9:12" ht="15" customHeight="1" x14ac:dyDescent="0.25">
      <c r="I21" s="2"/>
      <c r="J21" s="2"/>
      <c r="K21" s="2"/>
      <c r="L21" s="2"/>
    </row>
    <row r="22" spans="9:12" ht="15" customHeight="1" x14ac:dyDescent="0.25">
      <c r="I22" s="2"/>
      <c r="J22" s="2"/>
      <c r="K22" s="2"/>
      <c r="L22" s="2"/>
    </row>
    <row r="23" spans="9:12" ht="15" customHeight="1" x14ac:dyDescent="0.25">
      <c r="I23" s="2"/>
      <c r="J23" s="2"/>
      <c r="K23" s="2"/>
      <c r="L23" s="2"/>
    </row>
    <row r="24" spans="9:12" ht="15" customHeight="1" x14ac:dyDescent="0.25">
      <c r="I24" s="2"/>
      <c r="J24" s="2"/>
      <c r="K24" s="2"/>
      <c r="L24" s="2"/>
    </row>
    <row r="25" spans="9:12" ht="15" customHeight="1" x14ac:dyDescent="0.25">
      <c r="I25" s="2"/>
      <c r="J25" s="2"/>
      <c r="K25" s="2"/>
      <c r="L25" s="2"/>
    </row>
    <row r="26" spans="9:12" ht="15" customHeight="1" x14ac:dyDescent="0.25">
      <c r="I26" s="2"/>
      <c r="J26" s="2"/>
      <c r="K26" s="2"/>
      <c r="L26" s="2"/>
    </row>
    <row r="27" spans="9:12" ht="15" customHeight="1" x14ac:dyDescent="0.25">
      <c r="I27" s="2"/>
      <c r="J27" s="2"/>
      <c r="K27" s="2"/>
      <c r="L27" s="2"/>
    </row>
    <row r="28" spans="9:12" ht="15" customHeight="1" x14ac:dyDescent="0.25">
      <c r="I28" s="2"/>
      <c r="J28" s="2"/>
      <c r="K28" s="2"/>
      <c r="L28" s="2"/>
    </row>
    <row r="29" spans="9:12" ht="15" customHeight="1" x14ac:dyDescent="0.25">
      <c r="I29" s="2"/>
      <c r="J29" s="2"/>
      <c r="K29" s="2"/>
      <c r="L29" s="2"/>
    </row>
    <row r="30" spans="9:12" ht="15" customHeight="1" x14ac:dyDescent="0.25">
      <c r="I30" s="2"/>
      <c r="J30" s="2"/>
      <c r="K30" s="2"/>
      <c r="L30" s="2"/>
    </row>
    <row r="31" spans="9:12" ht="15" customHeight="1" x14ac:dyDescent="0.25">
      <c r="I31" s="2"/>
      <c r="J31" s="2"/>
      <c r="K31" s="2"/>
      <c r="L31" s="2"/>
    </row>
    <row r="32" spans="9:12" ht="15" customHeight="1" x14ac:dyDescent="0.25">
      <c r="I32" s="2"/>
      <c r="J32" s="2"/>
      <c r="K32" s="2"/>
      <c r="L32" s="2"/>
    </row>
    <row r="33" spans="2:26" ht="15" customHeight="1" x14ac:dyDescent="0.25">
      <c r="I33" s="2"/>
      <c r="J33" s="2"/>
      <c r="K33" s="2"/>
      <c r="L33" s="2"/>
    </row>
    <row r="34" spans="2:26" ht="18.75" x14ac:dyDescent="0.3">
      <c r="B34" s="59" t="s">
        <v>239</v>
      </c>
      <c r="C34" s="60"/>
      <c r="D34" s="60"/>
      <c r="E34" s="57"/>
      <c r="F34" s="57"/>
      <c r="G34" s="57"/>
      <c r="H34" s="57"/>
      <c r="I34" s="57"/>
      <c r="J34" s="57"/>
      <c r="K34" s="57"/>
      <c r="L34" s="57"/>
      <c r="M34" s="57"/>
      <c r="N34" s="57"/>
      <c r="O34" s="60"/>
      <c r="P34" s="60"/>
      <c r="Q34" s="60"/>
      <c r="R34" s="60"/>
      <c r="S34" s="60"/>
      <c r="T34" s="60"/>
      <c r="U34" s="60"/>
      <c r="V34" s="60"/>
      <c r="W34" s="60"/>
      <c r="X34" s="60"/>
      <c r="Y34" s="60"/>
      <c r="Z34" s="60"/>
    </row>
    <row r="35" spans="2:26" ht="15" customHeight="1" x14ac:dyDescent="0.25">
      <c r="I35" s="2"/>
      <c r="J35" s="2"/>
      <c r="K35" s="2"/>
      <c r="L35" s="2"/>
    </row>
    <row r="36" spans="2:26" ht="15" customHeight="1" x14ac:dyDescent="0.25">
      <c r="I36" s="2"/>
      <c r="J36" s="2"/>
      <c r="K36" s="2"/>
      <c r="L36" s="2"/>
    </row>
    <row r="37" spans="2:26" ht="15" customHeight="1" x14ac:dyDescent="0.25">
      <c r="I37" s="2"/>
      <c r="J37" s="2"/>
      <c r="K37" s="2"/>
      <c r="L37" s="2"/>
    </row>
    <row r="38" spans="2:26" ht="15" customHeight="1" x14ac:dyDescent="0.25">
      <c r="I38" s="2"/>
      <c r="J38" s="2"/>
      <c r="K38" s="2"/>
      <c r="L38" s="2"/>
    </row>
    <row r="39" spans="2:26" ht="15" customHeight="1" x14ac:dyDescent="0.25">
      <c r="I39" s="2"/>
      <c r="J39" s="2"/>
      <c r="K39" s="2"/>
      <c r="L39" s="2"/>
    </row>
    <row r="40" spans="2:26" ht="15" customHeight="1" x14ac:dyDescent="0.25">
      <c r="I40" s="2"/>
      <c r="J40" s="2"/>
      <c r="K40" s="2"/>
      <c r="L40" s="2"/>
    </row>
    <row r="41" spans="2:26" ht="15" customHeight="1" x14ac:dyDescent="0.25">
      <c r="I41" s="2"/>
      <c r="J41" s="2"/>
      <c r="K41" s="2"/>
      <c r="L41" s="2"/>
    </row>
    <row r="42" spans="2:26" ht="15" customHeight="1" x14ac:dyDescent="0.25">
      <c r="I42" s="2"/>
      <c r="J42" s="2"/>
      <c r="K42" s="2"/>
      <c r="L42" s="2"/>
    </row>
    <row r="43" spans="2:26" ht="15" customHeight="1" x14ac:dyDescent="0.25">
      <c r="I43" s="2"/>
      <c r="J43" s="2"/>
      <c r="K43" s="2"/>
      <c r="L43" s="2"/>
    </row>
    <row r="44" spans="2:26" ht="15" customHeight="1" x14ac:dyDescent="0.25">
      <c r="I44" s="2"/>
      <c r="J44" s="2"/>
      <c r="K44" s="2"/>
      <c r="L44" s="2"/>
    </row>
    <row r="45" spans="2:26" ht="15" customHeight="1" x14ac:dyDescent="0.25">
      <c r="I45" s="2"/>
      <c r="J45" s="2"/>
      <c r="K45" s="2"/>
      <c r="L45" s="2"/>
    </row>
    <row r="46" spans="2:26" ht="15" customHeight="1" x14ac:dyDescent="0.25">
      <c r="I46" s="2"/>
      <c r="J46" s="2"/>
      <c r="K46" s="2"/>
      <c r="L46" s="2"/>
    </row>
    <row r="47" spans="2:26" ht="15" customHeight="1" x14ac:dyDescent="0.25">
      <c r="I47" s="2"/>
      <c r="J47" s="2"/>
      <c r="K47" s="2"/>
      <c r="L47" s="2"/>
    </row>
    <row r="48" spans="2:26" ht="15" customHeight="1" x14ac:dyDescent="0.25">
      <c r="I48" s="2"/>
      <c r="J48" s="2"/>
      <c r="K48" s="2"/>
      <c r="L48" s="2"/>
    </row>
    <row r="49" spans="2:26" ht="15" customHeight="1" x14ac:dyDescent="0.25">
      <c r="I49" s="2"/>
      <c r="J49" s="2"/>
      <c r="K49" s="2"/>
      <c r="L49" s="2"/>
    </row>
    <row r="50" spans="2:26" ht="15" customHeight="1" x14ac:dyDescent="0.25">
      <c r="I50" s="2"/>
      <c r="J50" s="2"/>
      <c r="K50" s="2"/>
      <c r="L50" s="2"/>
    </row>
    <row r="51" spans="2:26" ht="15" customHeight="1" x14ac:dyDescent="0.25">
      <c r="I51" s="2"/>
      <c r="J51" s="2"/>
      <c r="K51" s="2"/>
      <c r="L51" s="2"/>
    </row>
    <row r="52" spans="2:26" ht="15" customHeight="1" x14ac:dyDescent="0.25">
      <c r="I52" s="2"/>
      <c r="J52" s="2"/>
      <c r="K52" s="2"/>
      <c r="L52" s="2"/>
    </row>
    <row r="53" spans="2:26" ht="15" customHeight="1" x14ac:dyDescent="0.25">
      <c r="I53" s="2"/>
      <c r="J53" s="2"/>
      <c r="K53" s="2"/>
      <c r="L53" s="2"/>
    </row>
    <row r="54" spans="2:26" ht="15" customHeight="1" x14ac:dyDescent="0.25">
      <c r="I54" s="2"/>
      <c r="J54" s="2"/>
      <c r="K54" s="2"/>
      <c r="L54" s="2"/>
    </row>
    <row r="55" spans="2:26" ht="15" customHeight="1" x14ac:dyDescent="0.25">
      <c r="B55" s="62"/>
      <c r="I55" s="2"/>
      <c r="J55" s="2"/>
      <c r="K55" s="2"/>
      <c r="L55" s="2"/>
    </row>
    <row r="57" spans="2:26" ht="18.75" x14ac:dyDescent="0.3">
      <c r="B57" s="63" t="s">
        <v>273</v>
      </c>
      <c r="C57" s="57"/>
      <c r="D57" s="57"/>
      <c r="E57" s="57"/>
      <c r="F57" s="57"/>
      <c r="G57" s="57"/>
      <c r="H57" s="57"/>
      <c r="I57" s="60"/>
      <c r="J57" s="60"/>
      <c r="K57" s="60"/>
      <c r="M57" s="59" t="s">
        <v>240</v>
      </c>
      <c r="N57" s="57"/>
      <c r="O57" s="57"/>
      <c r="P57" s="57"/>
      <c r="Q57" s="57"/>
      <c r="R57" s="57"/>
      <c r="S57" s="57"/>
      <c r="T57" s="57"/>
      <c r="U57" s="57"/>
      <c r="V57" s="57"/>
      <c r="W57" s="57"/>
      <c r="X57" s="57"/>
      <c r="Y57" s="57"/>
      <c r="Z57" s="57"/>
    </row>
    <row r="58" spans="2:26" ht="18.75" x14ac:dyDescent="0.25">
      <c r="B58" s="64"/>
      <c r="C58" s="58"/>
      <c r="D58" s="58"/>
      <c r="E58" s="58"/>
      <c r="F58" s="58"/>
      <c r="G58" s="58"/>
      <c r="H58" s="58"/>
    </row>
    <row r="59" spans="2:26" x14ac:dyDescent="0.25">
      <c r="B59" s="13" t="s">
        <v>68</v>
      </c>
      <c r="M59" s="13" t="s">
        <v>241</v>
      </c>
    </row>
    <row r="60" spans="2:26" x14ac:dyDescent="0.25">
      <c r="B60" s="102" t="s">
        <v>272</v>
      </c>
      <c r="G60" s="65"/>
      <c r="H60" s="65"/>
    </row>
    <row r="61" spans="2:26" ht="39.950000000000003" customHeight="1" thickBot="1" x14ac:dyDescent="0.3">
      <c r="B61" s="102"/>
      <c r="C61" s="103" t="s">
        <v>271</v>
      </c>
      <c r="D61" s="103"/>
      <c r="E61" s="103"/>
      <c r="F61" s="103"/>
      <c r="G61" s="103"/>
      <c r="H61" s="103"/>
      <c r="M61" s="12" t="s">
        <v>242</v>
      </c>
      <c r="U61" s="12" t="s">
        <v>243</v>
      </c>
    </row>
    <row r="62" spans="2:26" ht="39.950000000000003" customHeight="1" thickTop="1" thickBot="1" x14ac:dyDescent="0.3">
      <c r="B62" s="102"/>
      <c r="C62" s="66"/>
      <c r="D62" s="67" t="s">
        <v>244</v>
      </c>
      <c r="E62" s="67" t="s">
        <v>245</v>
      </c>
      <c r="F62" s="67" t="s">
        <v>246</v>
      </c>
      <c r="G62" s="67" t="s">
        <v>247</v>
      </c>
      <c r="H62" s="67" t="s">
        <v>248</v>
      </c>
      <c r="L62" s="104" t="s">
        <v>193</v>
      </c>
      <c r="M62" s="68">
        <v>5</v>
      </c>
      <c r="N62" s="69" cm="1">
        <f t="array" ref="N62">SUMPRODUCT((RiskAssessment[Likelihood]=$M62)*(RiskAssessment[Impact]=N$67))</f>
        <v>0</v>
      </c>
      <c r="O62" s="69" cm="1">
        <f t="array" ref="O62">SUMPRODUCT((RiskAssessment[Likelihood]=$M62)*(RiskAssessment[Impact]=O$67))</f>
        <v>0</v>
      </c>
      <c r="P62" s="70" cm="1">
        <f t="array" ref="P62">SUMPRODUCT((RiskAssessment[Likelihood]=$M62)*(RiskAssessment[Impact]=P$67))</f>
        <v>0</v>
      </c>
      <c r="Q62" s="70" cm="1">
        <f t="array" ref="Q62">SUMPRODUCT((RiskAssessment[Likelihood]=$M62)*(RiskAssessment[Impact]=Q$67))</f>
        <v>0</v>
      </c>
      <c r="R62" s="70" cm="1">
        <f t="array" ref="R62">SUMPRODUCT((RiskAssessment[Likelihood]=$M62)*(RiskAssessment[Impact]=R$67))</f>
        <v>0</v>
      </c>
      <c r="S62" s="71"/>
      <c r="T62" s="104" t="s">
        <v>193</v>
      </c>
      <c r="U62" s="68">
        <v>5</v>
      </c>
      <c r="V62" s="69" cm="1">
        <f t="array" ref="V62">SUMPRODUCT((RiskAssessment[Post-Treatment Likelihood]=$U62)*(RiskAssessment[Post- Treatment Impact]=V$67))</f>
        <v>0</v>
      </c>
      <c r="W62" s="69" cm="1">
        <f t="array" ref="W62">SUMPRODUCT((RiskAssessment[Post-Treatment Likelihood]=$U62)*(RiskAssessment[Post- Treatment Impact]=W$67))</f>
        <v>0</v>
      </c>
      <c r="X62" s="70" cm="1">
        <f t="array" ref="X62">SUMPRODUCT((RiskAssessment[Post-Treatment Likelihood]=$U62)*(RiskAssessment[Post- Treatment Impact]=X$67))</f>
        <v>0</v>
      </c>
      <c r="Y62" s="70" cm="1">
        <f t="array" ref="Y62">SUMPRODUCT((RiskAssessment[Post-Treatment Likelihood]=$U62)*(RiskAssessment[Post- Treatment Impact]=Y$67))</f>
        <v>0</v>
      </c>
      <c r="Z62" s="70" cm="1">
        <f t="array" ref="Z62">SUMPRODUCT((RiskAssessment[Post-Treatment Likelihood]=$U62)*(RiskAssessment[Post- Treatment Impact]=Z$67))</f>
        <v>0</v>
      </c>
    </row>
    <row r="63" spans="2:26" ht="39.950000000000003" customHeight="1" thickTop="1" thickBot="1" x14ac:dyDescent="0.3">
      <c r="B63" s="102"/>
      <c r="C63" s="67" t="s">
        <v>249</v>
      </c>
      <c r="D63" s="72" t="s">
        <v>250</v>
      </c>
      <c r="E63" s="72" t="s">
        <v>251</v>
      </c>
      <c r="F63" s="73" t="s">
        <v>252</v>
      </c>
      <c r="G63" s="73" t="s">
        <v>253</v>
      </c>
      <c r="H63" s="73" t="s">
        <v>254</v>
      </c>
      <c r="L63" s="104"/>
      <c r="M63" s="74">
        <v>4</v>
      </c>
      <c r="N63" s="75" cm="1">
        <f t="array" ref="N63">SUMPRODUCT((RiskAssessment[Likelihood]=$M63)*(RiskAssessment[Impact]=N$67))</f>
        <v>0</v>
      </c>
      <c r="O63" s="69" cm="1">
        <f t="array" ref="O63">SUMPRODUCT((RiskAssessment[Likelihood]=$M63)*(RiskAssessment[Impact]=O$67))</f>
        <v>0</v>
      </c>
      <c r="P63" s="70" cm="1">
        <f t="array" ref="P63">SUMPRODUCT((RiskAssessment[Likelihood]=$M63)*(RiskAssessment[Impact]=P$67))</f>
        <v>0</v>
      </c>
      <c r="Q63" s="70" cm="1">
        <f t="array" ref="Q63">SUMPRODUCT((RiskAssessment[Likelihood]=$M63)*(RiskAssessment[Impact]=Q$67))</f>
        <v>0</v>
      </c>
      <c r="R63" s="70" cm="1">
        <f t="array" ref="R63">SUMPRODUCT((RiskAssessment[Likelihood]=$M63)*(RiskAssessment[Impact]=R$67))</f>
        <v>0</v>
      </c>
      <c r="S63" s="71"/>
      <c r="T63" s="104"/>
      <c r="U63" s="74">
        <v>4</v>
      </c>
      <c r="V63" s="75" cm="1">
        <f t="array" ref="V63">SUMPRODUCT((RiskAssessment[Post-Treatment Likelihood]=$U63)*(RiskAssessment[Post- Treatment Impact]=V$67))</f>
        <v>0</v>
      </c>
      <c r="W63" s="69" cm="1">
        <f t="array" ref="W63">SUMPRODUCT((RiskAssessment[Post-Treatment Likelihood]=$U63)*(RiskAssessment[Post- Treatment Impact]=W$67))</f>
        <v>0</v>
      </c>
      <c r="X63" s="70" cm="1">
        <f t="array" ref="X63">SUMPRODUCT((RiskAssessment[Post-Treatment Likelihood]=$U63)*(RiskAssessment[Post- Treatment Impact]=X$67))</f>
        <v>0</v>
      </c>
      <c r="Y63" s="70" cm="1">
        <f t="array" ref="Y63">SUMPRODUCT((RiskAssessment[Post-Treatment Likelihood]=$U63)*(RiskAssessment[Post- Treatment Impact]=Y$67))</f>
        <v>0</v>
      </c>
      <c r="Z63" s="70" cm="1">
        <f t="array" ref="Z63">SUMPRODUCT((RiskAssessment[Post-Treatment Likelihood]=$U63)*(RiskAssessment[Post- Treatment Impact]=Z$67))</f>
        <v>0</v>
      </c>
    </row>
    <row r="64" spans="2:26" ht="39.950000000000003" customHeight="1" thickTop="1" thickBot="1" x14ac:dyDescent="0.3">
      <c r="B64" s="102"/>
      <c r="C64" s="67" t="s">
        <v>255</v>
      </c>
      <c r="D64" s="76" t="s">
        <v>256</v>
      </c>
      <c r="E64" s="72" t="s">
        <v>257</v>
      </c>
      <c r="F64" s="73" t="s">
        <v>258</v>
      </c>
      <c r="G64" s="73" t="s">
        <v>259</v>
      </c>
      <c r="H64" s="73" t="s">
        <v>253</v>
      </c>
      <c r="L64" s="104"/>
      <c r="M64" s="74">
        <v>3</v>
      </c>
      <c r="N64" s="75" cm="1">
        <f t="array" ref="N64">SUMPRODUCT((RiskAssessment[Likelihood]=$M64)*(RiskAssessment[Impact]=N$67))</f>
        <v>0</v>
      </c>
      <c r="O64" s="69" cm="1">
        <f t="array" ref="O64">SUMPRODUCT((RiskAssessment[Likelihood]=$M64)*(RiskAssessment[Impact]=O$67))</f>
        <v>0</v>
      </c>
      <c r="P64" s="69" cm="1">
        <f t="array" ref="P64">SUMPRODUCT((RiskAssessment[Likelihood]=$M64)*(RiskAssessment[Impact]=P$67))</f>
        <v>0</v>
      </c>
      <c r="Q64" s="70" cm="1">
        <f t="array" ref="Q64">SUMPRODUCT((RiskAssessment[Likelihood]=$M64)*(RiskAssessment[Impact]=Q$67))</f>
        <v>0</v>
      </c>
      <c r="R64" s="70" cm="1">
        <f t="array" ref="R64">SUMPRODUCT((RiskAssessment[Likelihood]=$M64)*(RiskAssessment[Impact]=R$67))</f>
        <v>0</v>
      </c>
      <c r="S64" s="71"/>
      <c r="T64" s="104"/>
      <c r="U64" s="74">
        <v>3</v>
      </c>
      <c r="V64" s="75" cm="1">
        <f t="array" ref="V64">SUMPRODUCT((RiskAssessment[Post-Treatment Likelihood]=$U64)*(RiskAssessment[Post- Treatment Impact]=V$67))</f>
        <v>0</v>
      </c>
      <c r="W64" s="69" cm="1">
        <f t="array" ref="W64">SUMPRODUCT((RiskAssessment[Post-Treatment Likelihood]=$U64)*(RiskAssessment[Post- Treatment Impact]=W$67))</f>
        <v>0</v>
      </c>
      <c r="X64" s="69" cm="1">
        <f t="array" ref="X64">SUMPRODUCT((RiskAssessment[Post-Treatment Likelihood]=$U64)*(RiskAssessment[Post- Treatment Impact]=X$67))</f>
        <v>0</v>
      </c>
      <c r="Y64" s="70" cm="1">
        <f t="array" ref="Y64">SUMPRODUCT((RiskAssessment[Post-Treatment Likelihood]=$U64)*(RiskAssessment[Post- Treatment Impact]=Y$67))</f>
        <v>0</v>
      </c>
      <c r="Z64" s="70" cm="1">
        <f t="array" ref="Z64">SUMPRODUCT((RiskAssessment[Post-Treatment Likelihood]=$U64)*(RiskAssessment[Post- Treatment Impact]=Z$67))</f>
        <v>0</v>
      </c>
    </row>
    <row r="65" spans="2:26" ht="39.950000000000003" customHeight="1" thickTop="1" thickBot="1" x14ac:dyDescent="0.3">
      <c r="B65" s="102"/>
      <c r="C65" s="67" t="s">
        <v>260</v>
      </c>
      <c r="D65" s="76" t="s">
        <v>261</v>
      </c>
      <c r="E65" s="72" t="s">
        <v>262</v>
      </c>
      <c r="F65" s="72" t="s">
        <v>263</v>
      </c>
      <c r="G65" s="73" t="s">
        <v>258</v>
      </c>
      <c r="H65" s="73" t="s">
        <v>252</v>
      </c>
      <c r="L65" s="104"/>
      <c r="M65" s="74">
        <v>2</v>
      </c>
      <c r="N65" s="75" cm="1">
        <f t="array" ref="N65">SUMPRODUCT((RiskAssessment[Likelihood]=$M65)*(RiskAssessment[Impact]=N$67))</f>
        <v>0</v>
      </c>
      <c r="O65" s="75" cm="1">
        <f t="array" ref="O65">SUMPRODUCT((RiskAssessment[Likelihood]=$M65)*(RiskAssessment[Impact]=O$67))</f>
        <v>0</v>
      </c>
      <c r="P65" s="69" cm="1">
        <f t="array" ref="P65">SUMPRODUCT((RiskAssessment[Likelihood]=$M65)*(RiskAssessment[Impact]=P$67))</f>
        <v>0</v>
      </c>
      <c r="Q65" s="69" cm="1">
        <f t="array" ref="Q65">SUMPRODUCT((RiskAssessment[Likelihood]=$M65)*(RiskAssessment[Impact]=Q$67))</f>
        <v>0</v>
      </c>
      <c r="R65" s="69" cm="1">
        <f t="array" ref="R65">SUMPRODUCT((RiskAssessment[Likelihood]=$M65)*(RiskAssessment[Impact]=R$67))</f>
        <v>0</v>
      </c>
      <c r="S65" s="71"/>
      <c r="T65" s="104"/>
      <c r="U65" s="74">
        <v>2</v>
      </c>
      <c r="V65" s="75" cm="1">
        <f t="array" ref="V65">SUMPRODUCT((RiskAssessment[Post-Treatment Likelihood]=$U65)*(RiskAssessment[Post- Treatment Impact]=V$67))</f>
        <v>0</v>
      </c>
      <c r="W65" s="75" cm="1">
        <f t="array" ref="W65">SUMPRODUCT((RiskAssessment[Post-Treatment Likelihood]=$U65)*(RiskAssessment[Post- Treatment Impact]=W$67))</f>
        <v>0</v>
      </c>
      <c r="X65" s="69" cm="1">
        <f t="array" ref="X65">SUMPRODUCT((RiskAssessment[Post-Treatment Likelihood]=$U65)*(RiskAssessment[Post- Treatment Impact]=X$67))</f>
        <v>0</v>
      </c>
      <c r="Y65" s="69" cm="1">
        <f t="array" ref="Y65">SUMPRODUCT((RiskAssessment[Post-Treatment Likelihood]=$U65)*(RiskAssessment[Post- Treatment Impact]=Y$67))</f>
        <v>0</v>
      </c>
      <c r="Z65" s="69" cm="1">
        <f t="array" ref="Z65">SUMPRODUCT((RiskAssessment[Post-Treatment Likelihood]=$U65)*(RiskAssessment[Post- Treatment Impact]=Z$67))</f>
        <v>0</v>
      </c>
    </row>
    <row r="66" spans="2:26" ht="39.950000000000003" customHeight="1" thickTop="1" thickBot="1" x14ac:dyDescent="0.3">
      <c r="B66" s="102"/>
      <c r="C66" s="67" t="s">
        <v>264</v>
      </c>
      <c r="D66" s="76" t="s">
        <v>265</v>
      </c>
      <c r="E66" s="76" t="s">
        <v>256</v>
      </c>
      <c r="F66" s="72" t="s">
        <v>262</v>
      </c>
      <c r="G66" s="72" t="s">
        <v>257</v>
      </c>
      <c r="H66" s="72" t="s">
        <v>251</v>
      </c>
      <c r="L66" s="104"/>
      <c r="M66" s="74">
        <v>1</v>
      </c>
      <c r="N66" s="75" cm="1">
        <f t="array" ref="N66">SUMPRODUCT((RiskAssessment[Likelihood]=$M66)*(RiskAssessment[Impact]=N$67))</f>
        <v>0</v>
      </c>
      <c r="O66" s="75" cm="1">
        <f t="array" ref="O66">SUMPRODUCT((RiskAssessment[Likelihood]=$M66)*(RiskAssessment[Impact]=O$67))</f>
        <v>0</v>
      </c>
      <c r="P66" s="75" cm="1">
        <f t="array" ref="P66">SUMPRODUCT((RiskAssessment[Likelihood]=$M66)*(RiskAssessment[Impact]=P$67))</f>
        <v>0</v>
      </c>
      <c r="Q66" s="75" cm="1">
        <f t="array" ref="Q66">SUMPRODUCT((RiskAssessment[Likelihood]=$M66)*(RiskAssessment[Impact]=Q$67))</f>
        <v>0</v>
      </c>
      <c r="R66" s="69" cm="1">
        <f t="array" ref="R66">SUMPRODUCT((RiskAssessment[Likelihood]=$M66)*(RiskAssessment[Impact]=R$67))</f>
        <v>0</v>
      </c>
      <c r="S66" s="71"/>
      <c r="T66" s="104"/>
      <c r="U66" s="74">
        <v>1</v>
      </c>
      <c r="V66" s="75" cm="1">
        <f t="array" ref="V66">SUMPRODUCT((RiskAssessment[Post-Treatment Likelihood]=$U66)*(RiskAssessment[Post- Treatment Impact]=V$67))</f>
        <v>0</v>
      </c>
      <c r="W66" s="75" cm="1">
        <f t="array" ref="W66">SUMPRODUCT((RiskAssessment[Post-Treatment Likelihood]=$U66)*(RiskAssessment[Post- Treatment Impact]=W$67))</f>
        <v>0</v>
      </c>
      <c r="X66" s="75" cm="1">
        <f t="array" ref="X66">SUMPRODUCT((RiskAssessment[Post-Treatment Likelihood]=$U66)*(RiskAssessment[Post- Treatment Impact]=X$67))</f>
        <v>0</v>
      </c>
      <c r="Y66" s="75" cm="1">
        <f t="array" ref="Y66">SUMPRODUCT((RiskAssessment[Post-Treatment Likelihood]=$U66)*(RiskAssessment[Post- Treatment Impact]=Y$67))</f>
        <v>0</v>
      </c>
      <c r="Z66" s="69" cm="1">
        <f t="array" ref="Z66">SUMPRODUCT((RiskAssessment[Post-Treatment Likelihood]=$U66)*(RiskAssessment[Post- Treatment Impact]=Z$67))</f>
        <v>0</v>
      </c>
    </row>
    <row r="67" spans="2:26" ht="39.950000000000003" customHeight="1" thickTop="1" thickBot="1" x14ac:dyDescent="0.3">
      <c r="B67" s="102"/>
      <c r="C67" s="67" t="s">
        <v>266</v>
      </c>
      <c r="D67" s="76" t="s">
        <v>267</v>
      </c>
      <c r="E67" s="76" t="s">
        <v>265</v>
      </c>
      <c r="F67" s="76" t="s">
        <v>261</v>
      </c>
      <c r="G67" s="76" t="s">
        <v>256</v>
      </c>
      <c r="H67" s="72" t="s">
        <v>250</v>
      </c>
      <c r="L67" s="104"/>
      <c r="M67" s="77"/>
      <c r="N67" s="78">
        <v>1</v>
      </c>
      <c r="O67" s="78">
        <v>2</v>
      </c>
      <c r="P67" s="78">
        <v>3</v>
      </c>
      <c r="Q67" s="78">
        <v>4</v>
      </c>
      <c r="R67" s="79">
        <v>5</v>
      </c>
      <c r="S67" s="71"/>
      <c r="T67" s="104"/>
      <c r="U67" s="77"/>
      <c r="V67" s="78">
        <v>1</v>
      </c>
      <c r="W67" s="78">
        <v>2</v>
      </c>
      <c r="X67" s="78">
        <v>3</v>
      </c>
      <c r="Y67" s="78">
        <v>4</v>
      </c>
      <c r="Z67" s="79">
        <v>5</v>
      </c>
    </row>
    <row r="68" spans="2:26" ht="39.950000000000003" customHeight="1" thickTop="1" x14ac:dyDescent="0.25">
      <c r="M68" s="101" t="s">
        <v>268</v>
      </c>
      <c r="N68" s="101"/>
      <c r="O68" s="101"/>
      <c r="P68" s="101"/>
      <c r="Q68" s="101"/>
      <c r="R68" s="101"/>
      <c r="S68" s="80"/>
      <c r="U68" s="101" t="s">
        <v>268</v>
      </c>
      <c r="V68" s="101"/>
      <c r="W68" s="101"/>
      <c r="X68" s="101"/>
      <c r="Y68" s="101"/>
      <c r="Z68" s="101"/>
    </row>
    <row r="70" spans="2:26" ht="15" customHeight="1" x14ac:dyDescent="0.25">
      <c r="B70" s="62"/>
      <c r="I70" s="3"/>
      <c r="J70" s="3"/>
      <c r="K70" s="3"/>
      <c r="L70" s="3"/>
      <c r="M70" s="3"/>
      <c r="N70" s="3"/>
      <c r="O70" s="3"/>
    </row>
    <row r="71" spans="2:26" ht="18.75" x14ac:dyDescent="0.3">
      <c r="B71" s="59" t="s">
        <v>269</v>
      </c>
      <c r="C71" s="57"/>
      <c r="D71" s="57"/>
      <c r="E71" s="57"/>
      <c r="F71" s="57"/>
      <c r="G71" s="57"/>
      <c r="H71" s="57"/>
      <c r="I71" s="57"/>
      <c r="J71" s="57"/>
      <c r="K71" s="57"/>
      <c r="L71" s="57"/>
      <c r="M71" s="57"/>
      <c r="N71" s="57"/>
      <c r="O71" s="57"/>
      <c r="P71" s="57"/>
      <c r="Q71" s="57"/>
      <c r="R71" s="57"/>
      <c r="S71" s="57"/>
      <c r="T71" s="57"/>
      <c r="U71" s="57"/>
      <c r="V71" s="57"/>
      <c r="W71" s="60"/>
      <c r="X71" s="60"/>
      <c r="Y71" s="60"/>
      <c r="Z71" s="60"/>
    </row>
  </sheetData>
  <mergeCells count="6">
    <mergeCell ref="U68:Z68"/>
    <mergeCell ref="B60:B67"/>
    <mergeCell ref="C61:H61"/>
    <mergeCell ref="L62:L67"/>
    <mergeCell ref="T62:T67"/>
    <mergeCell ref="M68:R68"/>
  </mergeCells>
  <pageMargins left="0.23622047244094491" right="0.23622047244094491" top="0.39370078740157483" bottom="0.39370078740157483" header="0.19685039370078741" footer="0.19685039370078741"/>
  <pageSetup paperSize="9" scale="35" orientation="landscape" horizontalDpi="360" verticalDpi="36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762991-28B9-4CBE-BB78-BA0E12EC3B79}">
  <sheetPr codeName="Sheet5"/>
  <dimension ref="B4:C15"/>
  <sheetViews>
    <sheetView showGridLines="0" workbookViewId="0"/>
  </sheetViews>
  <sheetFormatPr defaultRowHeight="15" x14ac:dyDescent="0.25"/>
  <cols>
    <col min="1" max="1" width="2.85546875" customWidth="1"/>
    <col min="2" max="2" width="11.7109375" bestFit="1" customWidth="1"/>
    <col min="3" max="3" width="14.28515625" bestFit="1" customWidth="1"/>
  </cols>
  <sheetData>
    <row r="4" spans="2:3" ht="18.75" x14ac:dyDescent="0.3">
      <c r="B4" s="26" t="s">
        <v>275</v>
      </c>
    </row>
    <row r="5" spans="2:3" ht="18.75" x14ac:dyDescent="0.3">
      <c r="B5" s="26"/>
    </row>
    <row r="6" spans="2:3" x14ac:dyDescent="0.25">
      <c r="B6" s="83" t="s">
        <v>14</v>
      </c>
      <c r="C6" s="83" t="s">
        <v>242</v>
      </c>
    </row>
    <row r="7" spans="2:3" x14ac:dyDescent="0.25">
      <c r="B7" t="s">
        <v>69</v>
      </c>
      <c r="C7">
        <f>COUNTIF(RiskAssessment[Risk Level],PreTreatmentRisksByRiskLevel[[#This Row],[Risk level]])</f>
        <v>0</v>
      </c>
    </row>
    <row r="8" spans="2:3" x14ac:dyDescent="0.25">
      <c r="B8" t="s">
        <v>70</v>
      </c>
      <c r="C8">
        <f>COUNTIF(RiskAssessment[Risk Level],PreTreatmentRisksByRiskLevel[[#This Row],[Risk level]])</f>
        <v>0</v>
      </c>
    </row>
    <row r="9" spans="2:3" x14ac:dyDescent="0.25">
      <c r="B9" t="s">
        <v>71</v>
      </c>
      <c r="C9">
        <f>COUNTIF(RiskAssessment[Risk Level],PreTreatmentRisksByRiskLevel[[#This Row],[Risk level]])</f>
        <v>0</v>
      </c>
    </row>
    <row r="10" spans="2:3" ht="15" customHeight="1" x14ac:dyDescent="0.3">
      <c r="B10" s="26"/>
    </row>
    <row r="11" spans="2:3" ht="15" customHeight="1" x14ac:dyDescent="0.3">
      <c r="B11" s="26"/>
    </row>
    <row r="12" spans="2:3" ht="15" customHeight="1" x14ac:dyDescent="0.25">
      <c r="B12" s="57" t="s">
        <v>14</v>
      </c>
      <c r="C12" s="57" t="s">
        <v>276</v>
      </c>
    </row>
    <row r="13" spans="2:3" x14ac:dyDescent="0.25">
      <c r="B13" t="s">
        <v>69</v>
      </c>
      <c r="C13">
        <v>0</v>
      </c>
    </row>
    <row r="14" spans="2:3" x14ac:dyDescent="0.25">
      <c r="B14" t="s">
        <v>70</v>
      </c>
      <c r="C14">
        <v>0</v>
      </c>
    </row>
    <row r="15" spans="2:3" x14ac:dyDescent="0.25">
      <c r="B15" t="s">
        <v>71</v>
      </c>
      <c r="C15">
        <v>0</v>
      </c>
    </row>
  </sheetData>
  <pageMargins left="0.7" right="0.7" top="0.75" bottom="0.75" header="0.3" footer="0.3"/>
  <pageSetup paperSize="9" orientation="portrait" horizontalDpi="360" verticalDpi="360"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41BAE-F024-45E0-AB98-91104AF917EE}">
  <sheetPr codeName="Sheet6"/>
  <dimension ref="B4:D7"/>
  <sheetViews>
    <sheetView showGridLines="0" workbookViewId="0"/>
  </sheetViews>
  <sheetFormatPr defaultRowHeight="15" x14ac:dyDescent="0.25"/>
  <cols>
    <col min="1" max="1" width="2.85546875" customWidth="1"/>
    <col min="2" max="2" width="21" bestFit="1" customWidth="1"/>
    <col min="3" max="3" width="13.28515625" bestFit="1" customWidth="1"/>
    <col min="4" max="4" width="10.140625" bestFit="1" customWidth="1"/>
  </cols>
  <sheetData>
    <row r="4" spans="2:4" ht="18.75" x14ac:dyDescent="0.3">
      <c r="B4" s="26" t="s">
        <v>277</v>
      </c>
    </row>
    <row r="6" spans="2:4" x14ac:dyDescent="0.25">
      <c r="B6" s="57" t="s">
        <v>182</v>
      </c>
      <c r="C6" s="57" t="s">
        <v>11</v>
      </c>
      <c r="D6" s="57" t="s">
        <v>279</v>
      </c>
    </row>
    <row r="7" spans="2:4" x14ac:dyDescent="0.25">
      <c r="B7" t="s">
        <v>274</v>
      </c>
      <c r="C7" t="s">
        <v>278</v>
      </c>
      <c r="D7">
        <v>20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A8EA3-A53A-4148-954D-4118E6352401}">
  <sheetPr codeName="Sheet10"/>
  <dimension ref="B4:C15"/>
  <sheetViews>
    <sheetView showGridLines="0" workbookViewId="0"/>
  </sheetViews>
  <sheetFormatPr defaultRowHeight="15" x14ac:dyDescent="0.25"/>
  <cols>
    <col min="1" max="1" width="2.85546875" customWidth="1"/>
    <col min="2" max="2" width="11.7109375" bestFit="1" customWidth="1"/>
    <col min="3" max="3" width="15.140625" bestFit="1" customWidth="1"/>
  </cols>
  <sheetData>
    <row r="4" spans="2:3" ht="18.75" x14ac:dyDescent="0.3">
      <c r="B4" s="26" t="s">
        <v>280</v>
      </c>
    </row>
    <row r="6" spans="2:3" x14ac:dyDescent="0.25">
      <c r="B6" s="83" t="s">
        <v>14</v>
      </c>
      <c r="C6" s="83" t="s">
        <v>243</v>
      </c>
    </row>
    <row r="7" spans="2:3" x14ac:dyDescent="0.25">
      <c r="B7" t="s">
        <v>69</v>
      </c>
      <c r="C7">
        <f>COUNTIF(RiskAssessment[Post-Treatment Risk Level],RisksByRiskLevelPreandPostTreatment10[[#This Row],[Risk level]])</f>
        <v>0</v>
      </c>
    </row>
    <row r="8" spans="2:3" x14ac:dyDescent="0.25">
      <c r="B8" t="s">
        <v>70</v>
      </c>
      <c r="C8">
        <f>COUNTIF(RiskAssessment[Post-Treatment Risk Level],RisksByRiskLevelPreandPostTreatment10[[#This Row],[Risk level]])</f>
        <v>0</v>
      </c>
    </row>
    <row r="9" spans="2:3" x14ac:dyDescent="0.25">
      <c r="B9" t="s">
        <v>71</v>
      </c>
      <c r="C9">
        <f>COUNTIF(RiskAssessment[Post-Treatment Risk Level],RisksByRiskLevelPreandPostTreatment10[[#This Row],[Risk level]])</f>
        <v>0</v>
      </c>
    </row>
    <row r="10" spans="2:3" ht="18.75" x14ac:dyDescent="0.3">
      <c r="B10" s="26"/>
    </row>
    <row r="12" spans="2:3" x14ac:dyDescent="0.25">
      <c r="B12" s="57" t="s">
        <v>14</v>
      </c>
      <c r="C12" s="57" t="s">
        <v>281</v>
      </c>
    </row>
    <row r="13" spans="2:3" x14ac:dyDescent="0.25">
      <c r="B13" t="s">
        <v>69</v>
      </c>
      <c r="C13">
        <v>0</v>
      </c>
    </row>
    <row r="14" spans="2:3" x14ac:dyDescent="0.25">
      <c r="B14" t="s">
        <v>70</v>
      </c>
      <c r="C14">
        <v>0</v>
      </c>
    </row>
    <row r="15" spans="2:3" x14ac:dyDescent="0.25">
      <c r="B15" t="s">
        <v>71</v>
      </c>
      <c r="C15">
        <v>0</v>
      </c>
    </row>
  </sheetData>
  <pageMargins left="0.7" right="0.7" top="0.75" bottom="0.75" header="0.3" footer="0.3"/>
  <ignoredErrors>
    <ignoredError sqref="C7:C9" calculatedColumn="1"/>
  </ignoredErrors>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A311-44C2-4FA7-93B8-289F4BB38B73}">
  <sheetPr codeName="Sheet11"/>
  <dimension ref="B4:D15"/>
  <sheetViews>
    <sheetView showGridLines="0" workbookViewId="0"/>
  </sheetViews>
  <sheetFormatPr defaultRowHeight="15" x14ac:dyDescent="0.25"/>
  <cols>
    <col min="1" max="1" width="2.85546875" customWidth="1"/>
    <col min="2" max="2" width="11.7109375" bestFit="1" customWidth="1"/>
    <col min="3" max="3" width="14.28515625" bestFit="1" customWidth="1"/>
    <col min="4" max="4" width="15.140625" bestFit="1" customWidth="1"/>
  </cols>
  <sheetData>
    <row r="4" spans="2:4" ht="18.75" x14ac:dyDescent="0.25">
      <c r="B4" s="84" t="s">
        <v>282</v>
      </c>
    </row>
    <row r="6" spans="2:4" x14ac:dyDescent="0.25">
      <c r="B6" s="83" t="s">
        <v>14</v>
      </c>
      <c r="C6" s="83" t="s">
        <v>242</v>
      </c>
      <c r="D6" s="83" t="s">
        <v>243</v>
      </c>
    </row>
    <row r="7" spans="2:4" x14ac:dyDescent="0.25">
      <c r="B7" t="s">
        <v>69</v>
      </c>
      <c r="C7">
        <f>COUNTIF(RiskAssessment[Risk Level],PreMitigationRisksByRiskLevel10[[#This Row],[Risk level]])</f>
        <v>0</v>
      </c>
      <c r="D7">
        <f>COUNTIF(RiskAssessment[Post-Treatment Risk Level],PreMitigationRisksByRiskLevel10[[#This Row],[Risk level]])</f>
        <v>0</v>
      </c>
    </row>
    <row r="8" spans="2:4" x14ac:dyDescent="0.25">
      <c r="B8" t="s">
        <v>70</v>
      </c>
      <c r="C8">
        <f>COUNTIF(RiskAssessment[Risk Level],PreMitigationRisksByRiskLevel10[[#This Row],[Risk level]])</f>
        <v>0</v>
      </c>
      <c r="D8">
        <f>COUNTIF(RiskAssessment[Post-Treatment Risk Level],PreMitigationRisksByRiskLevel10[[#This Row],[Risk level]])</f>
        <v>0</v>
      </c>
    </row>
    <row r="9" spans="2:4" x14ac:dyDescent="0.25">
      <c r="B9" t="s">
        <v>71</v>
      </c>
      <c r="C9">
        <f>COUNTIF(RiskAssessment[Risk Level],PreMitigationRisksByRiskLevel10[[#This Row],[Risk level]])</f>
        <v>0</v>
      </c>
      <c r="D9">
        <f>COUNTIF(RiskAssessment[Post-Treatment Risk Level],PreMitigationRisksByRiskLevel10[[#This Row],[Risk level]])</f>
        <v>0</v>
      </c>
    </row>
    <row r="12" spans="2:4" x14ac:dyDescent="0.25">
      <c r="B12" s="57" t="s">
        <v>14</v>
      </c>
      <c r="C12" s="57" t="s">
        <v>276</v>
      </c>
      <c r="D12" s="57" t="s">
        <v>281</v>
      </c>
    </row>
    <row r="13" spans="2:4" x14ac:dyDescent="0.25">
      <c r="B13" t="s">
        <v>69</v>
      </c>
      <c r="C13">
        <v>0</v>
      </c>
      <c r="D13">
        <v>0</v>
      </c>
    </row>
    <row r="14" spans="2:4" x14ac:dyDescent="0.25">
      <c r="B14" t="s">
        <v>70</v>
      </c>
      <c r="C14">
        <v>0</v>
      </c>
      <c r="D14">
        <v>0</v>
      </c>
    </row>
    <row r="15" spans="2:4" x14ac:dyDescent="0.25">
      <c r="B15" t="s">
        <v>71</v>
      </c>
      <c r="C15">
        <v>0</v>
      </c>
      <c r="D15">
        <v>0</v>
      </c>
    </row>
  </sheetData>
  <pageMargins left="0.7" right="0.7" top="0.75" bottom="0.75" header="0.3" footer="0.3"/>
  <ignoredErrors>
    <ignoredError sqref="C7:C9 D7:D9" calculatedColumn="1"/>
  </ignoredErrors>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8CA38-666F-4240-B13A-4C9D4DA686BF}">
  <sheetPr codeName="Sheet12"/>
  <dimension ref="B4:C7"/>
  <sheetViews>
    <sheetView showGridLines="0" workbookViewId="0"/>
  </sheetViews>
  <sheetFormatPr defaultRowHeight="15" x14ac:dyDescent="0.25"/>
  <cols>
    <col min="1" max="1" width="2.85546875" customWidth="1"/>
    <col min="2" max="2" width="26.5703125" bestFit="1" customWidth="1"/>
    <col min="3" max="3" width="21.7109375" bestFit="1" customWidth="1"/>
  </cols>
  <sheetData>
    <row r="4" spans="2:3" ht="18.75" x14ac:dyDescent="0.3">
      <c r="B4" s="26" t="s">
        <v>283</v>
      </c>
    </row>
    <row r="6" spans="2:3" x14ac:dyDescent="0.25">
      <c r="B6" s="57" t="s">
        <v>183</v>
      </c>
      <c r="C6" s="57" t="s">
        <v>206</v>
      </c>
    </row>
    <row r="7" spans="2:3" x14ac:dyDescent="0.25">
      <c r="B7" t="s">
        <v>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04772D-2AC3-457E-A7EF-A632D4D1F13C}">
  <sheetPr codeName="Sheet14"/>
  <dimension ref="B4:C7"/>
  <sheetViews>
    <sheetView showGridLines="0" workbookViewId="0"/>
  </sheetViews>
  <sheetFormatPr defaultRowHeight="15" x14ac:dyDescent="0.25"/>
  <cols>
    <col min="1" max="1" width="2.85546875" customWidth="1"/>
    <col min="2" max="2" width="12" bestFit="1" customWidth="1"/>
    <col min="3" max="3" width="21.5703125" bestFit="1" customWidth="1"/>
  </cols>
  <sheetData>
    <row r="4" spans="2:3" ht="18.75" x14ac:dyDescent="0.3">
      <c r="B4" s="26" t="s">
        <v>284</v>
      </c>
    </row>
    <row r="6" spans="2:3" x14ac:dyDescent="0.25">
      <c r="B6" s="57" t="s">
        <v>182</v>
      </c>
      <c r="C6" s="57" t="s">
        <v>215</v>
      </c>
    </row>
    <row r="7" spans="2:3" x14ac:dyDescent="0.25">
      <c r="B7" t="s">
        <v>274</v>
      </c>
      <c r="C7" s="85">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AFCC9-266F-4D65-A4F9-BE191888EFEB}">
  <sheetPr codeName="Sheet15"/>
  <dimension ref="B4:C8"/>
  <sheetViews>
    <sheetView showGridLines="0" workbookViewId="0"/>
  </sheetViews>
  <sheetFormatPr defaultRowHeight="15" x14ac:dyDescent="0.25"/>
  <cols>
    <col min="1" max="1" width="2.85546875" customWidth="1"/>
    <col min="2" max="2" width="31.5703125" bestFit="1" customWidth="1"/>
    <col min="3" max="3" width="12" bestFit="1" customWidth="1"/>
    <col min="4" max="4" width="9.42578125" bestFit="1" customWidth="1"/>
    <col min="5" max="5" width="6" bestFit="1" customWidth="1"/>
    <col min="6" max="6" width="10.28515625" bestFit="1" customWidth="1"/>
    <col min="7" max="7" width="11.28515625" bestFit="1" customWidth="1"/>
  </cols>
  <sheetData>
    <row r="4" spans="2:3" ht="18.75" x14ac:dyDescent="0.3">
      <c r="B4" s="26" t="s">
        <v>285</v>
      </c>
    </row>
    <row r="6" spans="2:3" x14ac:dyDescent="0.25">
      <c r="B6" s="57" t="s">
        <v>286</v>
      </c>
      <c r="C6" s="57" t="s">
        <v>182</v>
      </c>
    </row>
    <row r="7" spans="2:3" x14ac:dyDescent="0.25">
      <c r="B7" s="57" t="s">
        <v>216</v>
      </c>
      <c r="C7" s="57" t="s">
        <v>274</v>
      </c>
    </row>
    <row r="8" spans="2:3" x14ac:dyDescent="0.25">
      <c r="B8" t="s">
        <v>278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73B94-1D21-432F-9D4F-7C6E36743EA3}">
  <sheetPr codeName="Sheet16"/>
  <dimension ref="A2:C265"/>
  <sheetViews>
    <sheetView showGridLines="0" zoomScaleNormal="100" workbookViewId="0"/>
  </sheetViews>
  <sheetFormatPr defaultColWidth="9.140625" defaultRowHeight="15" x14ac:dyDescent="0.25"/>
  <cols>
    <col min="1" max="1" width="2.85546875" style="3" customWidth="1"/>
    <col min="2" max="2" width="103" style="3" customWidth="1"/>
    <col min="3" max="3" width="10" style="3" customWidth="1"/>
    <col min="4" max="16384" width="9.140625" style="3"/>
  </cols>
  <sheetData>
    <row r="2" spans="2:3" x14ac:dyDescent="0.25">
      <c r="B2" s="4"/>
    </row>
    <row r="3" spans="2:3" x14ac:dyDescent="0.25">
      <c r="B3" s="4"/>
    </row>
    <row r="4" spans="2:3" x14ac:dyDescent="0.25">
      <c r="B4" s="4"/>
    </row>
    <row r="5" spans="2:3" x14ac:dyDescent="0.25">
      <c r="B5" s="4"/>
    </row>
    <row r="6" spans="2:3" x14ac:dyDescent="0.25">
      <c r="B6" s="4"/>
    </row>
    <row r="7" spans="2:3" x14ac:dyDescent="0.25">
      <c r="B7" s="4"/>
    </row>
    <row r="8" spans="2:3" ht="21" x14ac:dyDescent="0.25">
      <c r="B8" s="12" t="s">
        <v>293</v>
      </c>
      <c r="C8" s="13"/>
    </row>
    <row r="9" spans="2:3" x14ac:dyDescent="0.25">
      <c r="B9" s="13" t="s">
        <v>172</v>
      </c>
      <c r="C9" s="13"/>
    </row>
    <row r="10" spans="2:3" x14ac:dyDescent="0.25">
      <c r="B10" s="13"/>
      <c r="C10" s="13"/>
    </row>
    <row r="11" spans="2:3" x14ac:dyDescent="0.25">
      <c r="B11" s="43" t="s">
        <v>173</v>
      </c>
      <c r="C11" s="13"/>
    </row>
    <row r="12" spans="2:3" ht="21" customHeight="1" x14ac:dyDescent="0.25"/>
    <row r="13" spans="2:3" ht="18.75" x14ac:dyDescent="0.25">
      <c r="B13" s="42" t="s">
        <v>294</v>
      </c>
    </row>
    <row r="14" spans="2:3" x14ac:dyDescent="0.25">
      <c r="B14" s="2" t="s">
        <v>295</v>
      </c>
    </row>
    <row r="15" spans="2:3" ht="18" customHeight="1" x14ac:dyDescent="0.25">
      <c r="B15" s="2" t="s">
        <v>296</v>
      </c>
    </row>
    <row r="16" spans="2:3" x14ac:dyDescent="0.25">
      <c r="B16" s="2" t="s">
        <v>297</v>
      </c>
    </row>
    <row r="17" spans="2:2" x14ac:dyDescent="0.25">
      <c r="B17" s="2" t="s">
        <v>298</v>
      </c>
    </row>
    <row r="18" spans="2:2" x14ac:dyDescent="0.25">
      <c r="B18" s="2" t="s">
        <v>299</v>
      </c>
    </row>
    <row r="19" spans="2:2" x14ac:dyDescent="0.25">
      <c r="B19" s="2" t="s">
        <v>300</v>
      </c>
    </row>
    <row r="20" spans="2:2" x14ac:dyDescent="0.25">
      <c r="B20" s="2" t="s">
        <v>301</v>
      </c>
    </row>
    <row r="21" spans="2:2" x14ac:dyDescent="0.25">
      <c r="B21" s="2" t="s">
        <v>302</v>
      </c>
    </row>
    <row r="22" spans="2:2" x14ac:dyDescent="0.25">
      <c r="B22" s="2" t="s">
        <v>303</v>
      </c>
    </row>
    <row r="23" spans="2:2" x14ac:dyDescent="0.25">
      <c r="B23" s="2" t="s">
        <v>304</v>
      </c>
    </row>
    <row r="24" spans="2:2" x14ac:dyDescent="0.25">
      <c r="B24" s="2" t="s">
        <v>305</v>
      </c>
    </row>
    <row r="25" spans="2:2" x14ac:dyDescent="0.25">
      <c r="B25" s="2" t="s">
        <v>306</v>
      </c>
    </row>
    <row r="26" spans="2:2" x14ac:dyDescent="0.25">
      <c r="B26" s="2" t="s">
        <v>307</v>
      </c>
    </row>
    <row r="27" spans="2:2" x14ac:dyDescent="0.25">
      <c r="B27" s="2" t="s">
        <v>308</v>
      </c>
    </row>
    <row r="28" spans="2:2" x14ac:dyDescent="0.25">
      <c r="B28" s="2" t="s">
        <v>309</v>
      </c>
    </row>
    <row r="29" spans="2:2" x14ac:dyDescent="0.25">
      <c r="B29" s="2" t="s">
        <v>310</v>
      </c>
    </row>
    <row r="30" spans="2:2" x14ac:dyDescent="0.25">
      <c r="B30" s="2" t="s">
        <v>311</v>
      </c>
    </row>
    <row r="31" spans="2:2" x14ac:dyDescent="0.25">
      <c r="B31" s="2" t="s">
        <v>312</v>
      </c>
    </row>
    <row r="32" spans="2:2" x14ac:dyDescent="0.25">
      <c r="B32" s="2" t="s">
        <v>313</v>
      </c>
    </row>
    <row r="33" spans="2:2" x14ac:dyDescent="0.25">
      <c r="B33" s="2" t="s">
        <v>314</v>
      </c>
    </row>
    <row r="34" spans="2:2" x14ac:dyDescent="0.25">
      <c r="B34" s="2" t="s">
        <v>315</v>
      </c>
    </row>
    <row r="35" spans="2:2" x14ac:dyDescent="0.25">
      <c r="B35" s="2" t="s">
        <v>316</v>
      </c>
    </row>
    <row r="36" spans="2:2" x14ac:dyDescent="0.25">
      <c r="B36" s="2" t="s">
        <v>317</v>
      </c>
    </row>
    <row r="37" spans="2:2" x14ac:dyDescent="0.25">
      <c r="B37" s="2" t="s">
        <v>318</v>
      </c>
    </row>
    <row r="38" spans="2:2" x14ac:dyDescent="0.25">
      <c r="B38" s="2" t="s">
        <v>319</v>
      </c>
    </row>
    <row r="39" spans="2:2" x14ac:dyDescent="0.25">
      <c r="B39" s="2" t="s">
        <v>320</v>
      </c>
    </row>
    <row r="40" spans="2:2" x14ac:dyDescent="0.25">
      <c r="B40" s="2" t="s">
        <v>321</v>
      </c>
    </row>
    <row r="41" spans="2:2" ht="18.75" customHeight="1" x14ac:dyDescent="0.25">
      <c r="B41" s="2" t="s">
        <v>322</v>
      </c>
    </row>
    <row r="42" spans="2:2" x14ac:dyDescent="0.25">
      <c r="B42" s="2" t="s">
        <v>323</v>
      </c>
    </row>
    <row r="43" spans="2:2" x14ac:dyDescent="0.25">
      <c r="B43" s="2" t="s">
        <v>324</v>
      </c>
    </row>
    <row r="44" spans="2:2" x14ac:dyDescent="0.25">
      <c r="B44" s="2" t="s">
        <v>325</v>
      </c>
    </row>
    <row r="45" spans="2:2" x14ac:dyDescent="0.25">
      <c r="B45" s="2" t="s">
        <v>326</v>
      </c>
    </row>
    <row r="46" spans="2:2" x14ac:dyDescent="0.25">
      <c r="B46" s="2" t="s">
        <v>327</v>
      </c>
    </row>
    <row r="47" spans="2:2" x14ac:dyDescent="0.25">
      <c r="B47" s="2" t="s">
        <v>328</v>
      </c>
    </row>
    <row r="48" spans="2:2" x14ac:dyDescent="0.25">
      <c r="B48" s="2" t="s">
        <v>329</v>
      </c>
    </row>
    <row r="49" spans="2:2" x14ac:dyDescent="0.25">
      <c r="B49" s="2" t="s">
        <v>330</v>
      </c>
    </row>
    <row r="50" spans="2:2" x14ac:dyDescent="0.25">
      <c r="B50" s="2" t="s">
        <v>331</v>
      </c>
    </row>
    <row r="51" spans="2:2" x14ac:dyDescent="0.25">
      <c r="B51" s="9"/>
    </row>
    <row r="52" spans="2:2" ht="18.75" x14ac:dyDescent="0.25">
      <c r="B52" s="42" t="s">
        <v>332</v>
      </c>
    </row>
    <row r="53" spans="2:2" x14ac:dyDescent="0.25">
      <c r="B53" s="2" t="s">
        <v>333</v>
      </c>
    </row>
    <row r="54" spans="2:2" x14ac:dyDescent="0.25">
      <c r="B54" s="2" t="s">
        <v>334</v>
      </c>
    </row>
    <row r="55" spans="2:2" x14ac:dyDescent="0.25">
      <c r="B55" s="2" t="s">
        <v>335</v>
      </c>
    </row>
    <row r="56" spans="2:2" x14ac:dyDescent="0.25">
      <c r="B56" s="2" t="s">
        <v>336</v>
      </c>
    </row>
    <row r="57" spans="2:2" x14ac:dyDescent="0.25">
      <c r="B57" s="2" t="s">
        <v>337</v>
      </c>
    </row>
    <row r="58" spans="2:2" x14ac:dyDescent="0.25">
      <c r="B58" s="2" t="s">
        <v>338</v>
      </c>
    </row>
    <row r="59" spans="2:2" x14ac:dyDescent="0.25">
      <c r="B59" s="2" t="s">
        <v>339</v>
      </c>
    </row>
    <row r="60" spans="2:2" x14ac:dyDescent="0.25">
      <c r="B60" s="2" t="s">
        <v>340</v>
      </c>
    </row>
    <row r="61" spans="2:2" x14ac:dyDescent="0.25">
      <c r="B61" s="9"/>
    </row>
    <row r="62" spans="2:2" ht="18.75" x14ac:dyDescent="0.25">
      <c r="B62" s="42" t="s">
        <v>341</v>
      </c>
    </row>
    <row r="63" spans="2:2" x14ac:dyDescent="0.25">
      <c r="B63" s="2" t="s">
        <v>342</v>
      </c>
    </row>
    <row r="64" spans="2:2" x14ac:dyDescent="0.25">
      <c r="B64" s="2" t="s">
        <v>343</v>
      </c>
    </row>
    <row r="65" spans="1:2" ht="15.75" x14ac:dyDescent="0.25">
      <c r="A65" s="25"/>
      <c r="B65" s="2" t="s">
        <v>344</v>
      </c>
    </row>
    <row r="66" spans="1:2" x14ac:dyDescent="0.25">
      <c r="B66" s="2" t="s">
        <v>345</v>
      </c>
    </row>
    <row r="67" spans="1:2" x14ac:dyDescent="0.25">
      <c r="B67" s="2" t="s">
        <v>346</v>
      </c>
    </row>
    <row r="68" spans="1:2" x14ac:dyDescent="0.25">
      <c r="B68" s="2" t="s">
        <v>347</v>
      </c>
    </row>
    <row r="69" spans="1:2" x14ac:dyDescent="0.25">
      <c r="B69" s="2" t="s">
        <v>348</v>
      </c>
    </row>
    <row r="70" spans="1:2" x14ac:dyDescent="0.25">
      <c r="B70" s="2" t="s">
        <v>349</v>
      </c>
    </row>
    <row r="71" spans="1:2" x14ac:dyDescent="0.25">
      <c r="B71" s="2" t="s">
        <v>350</v>
      </c>
    </row>
    <row r="72" spans="1:2" x14ac:dyDescent="0.25">
      <c r="B72" s="2" t="s">
        <v>351</v>
      </c>
    </row>
    <row r="73" spans="1:2" x14ac:dyDescent="0.25">
      <c r="B73" s="2" t="s">
        <v>352</v>
      </c>
    </row>
    <row r="74" spans="1:2" ht="16.5" customHeight="1" x14ac:dyDescent="0.25">
      <c r="B74" s="2" t="s">
        <v>353</v>
      </c>
    </row>
    <row r="75" spans="1:2" x14ac:dyDescent="0.25">
      <c r="B75" s="2" t="s">
        <v>354</v>
      </c>
    </row>
    <row r="76" spans="1:2" x14ac:dyDescent="0.25">
      <c r="B76" s="2" t="s">
        <v>355</v>
      </c>
    </row>
    <row r="77" spans="1:2" ht="15.75" x14ac:dyDescent="0.25">
      <c r="B77" s="44"/>
    </row>
    <row r="78" spans="1:2" ht="18.75" x14ac:dyDescent="0.25">
      <c r="B78" s="42" t="s">
        <v>356</v>
      </c>
    </row>
    <row r="79" spans="1:2" x14ac:dyDescent="0.25">
      <c r="B79" s="2" t="s">
        <v>357</v>
      </c>
    </row>
    <row r="80" spans="1:2" x14ac:dyDescent="0.25">
      <c r="B80" s="2" t="s">
        <v>358</v>
      </c>
    </row>
    <row r="81" spans="2:2" x14ac:dyDescent="0.25">
      <c r="B81" s="2" t="s">
        <v>359</v>
      </c>
    </row>
    <row r="82" spans="2:2" x14ac:dyDescent="0.25">
      <c r="B82" s="2" t="s">
        <v>360</v>
      </c>
    </row>
    <row r="83" spans="2:2" x14ac:dyDescent="0.25">
      <c r="B83" s="2" t="s">
        <v>361</v>
      </c>
    </row>
    <row r="84" spans="2:2" x14ac:dyDescent="0.25">
      <c r="B84" s="2" t="s">
        <v>362</v>
      </c>
    </row>
    <row r="85" spans="2:2" x14ac:dyDescent="0.25">
      <c r="B85" s="2" t="s">
        <v>363</v>
      </c>
    </row>
    <row r="86" spans="2:2" x14ac:dyDescent="0.25">
      <c r="B86" s="2" t="s">
        <v>364</v>
      </c>
    </row>
    <row r="87" spans="2:2" x14ac:dyDescent="0.25">
      <c r="B87" s="2" t="s">
        <v>365</v>
      </c>
    </row>
    <row r="88" spans="2:2" x14ac:dyDescent="0.25">
      <c r="B88" s="2" t="s">
        <v>366</v>
      </c>
    </row>
    <row r="89" spans="2:2" x14ac:dyDescent="0.25">
      <c r="B89" s="2" t="s">
        <v>367</v>
      </c>
    </row>
    <row r="90" spans="2:2" x14ac:dyDescent="0.25">
      <c r="B90" s="2" t="s">
        <v>368</v>
      </c>
    </row>
    <row r="91" spans="2:2" x14ac:dyDescent="0.25">
      <c r="B91" s="2" t="s">
        <v>369</v>
      </c>
    </row>
    <row r="92" spans="2:2" x14ac:dyDescent="0.25">
      <c r="B92" s="2" t="s">
        <v>370</v>
      </c>
    </row>
    <row r="93" spans="2:2" x14ac:dyDescent="0.25">
      <c r="B93" s="2" t="s">
        <v>371</v>
      </c>
    </row>
    <row r="94" spans="2:2" x14ac:dyDescent="0.25">
      <c r="B94" s="2" t="s">
        <v>372</v>
      </c>
    </row>
    <row r="95" spans="2:2" x14ac:dyDescent="0.25">
      <c r="B95" s="2" t="s">
        <v>373</v>
      </c>
    </row>
    <row r="96" spans="2:2" x14ac:dyDescent="0.25">
      <c r="B96" s="2" t="s">
        <v>374</v>
      </c>
    </row>
    <row r="97" spans="2:2" x14ac:dyDescent="0.25">
      <c r="B97" s="2" t="s">
        <v>375</v>
      </c>
    </row>
    <row r="98" spans="2:2" x14ac:dyDescent="0.25">
      <c r="B98" s="2" t="s">
        <v>376</v>
      </c>
    </row>
    <row r="99" spans="2:2" x14ac:dyDescent="0.25">
      <c r="B99" s="2" t="s">
        <v>377</v>
      </c>
    </row>
    <row r="100" spans="2:2" x14ac:dyDescent="0.25">
      <c r="B100" s="2" t="s">
        <v>378</v>
      </c>
    </row>
    <row r="101" spans="2:2" x14ac:dyDescent="0.25">
      <c r="B101" s="2" t="s">
        <v>379</v>
      </c>
    </row>
    <row r="102" spans="2:2" ht="15" customHeight="1" x14ac:dyDescent="0.25">
      <c r="B102" s="2" t="s">
        <v>380</v>
      </c>
    </row>
    <row r="103" spans="2:2" x14ac:dyDescent="0.25">
      <c r="B103" s="2" t="s">
        <v>381</v>
      </c>
    </row>
    <row r="104" spans="2:2" x14ac:dyDescent="0.25">
      <c r="B104" s="2" t="s">
        <v>382</v>
      </c>
    </row>
    <row r="105" spans="2:2" x14ac:dyDescent="0.25">
      <c r="B105" s="2" t="s">
        <v>383</v>
      </c>
    </row>
    <row r="106" spans="2:2" x14ac:dyDescent="0.25">
      <c r="B106" s="2" t="s">
        <v>384</v>
      </c>
    </row>
    <row r="107" spans="2:2" x14ac:dyDescent="0.25">
      <c r="B107" s="2" t="s">
        <v>385</v>
      </c>
    </row>
    <row r="108" spans="2:2" x14ac:dyDescent="0.25">
      <c r="B108" s="2" t="s">
        <v>386</v>
      </c>
    </row>
    <row r="109" spans="2:2" x14ac:dyDescent="0.25">
      <c r="B109" s="2" t="s">
        <v>387</v>
      </c>
    </row>
    <row r="110" spans="2:2" x14ac:dyDescent="0.25">
      <c r="B110" s="2" t="s">
        <v>388</v>
      </c>
    </row>
    <row r="111" spans="2:2" x14ac:dyDescent="0.25">
      <c r="B111" s="2" t="s">
        <v>389</v>
      </c>
    </row>
    <row r="112" spans="2:2" x14ac:dyDescent="0.25">
      <c r="B112" s="2" t="s">
        <v>390</v>
      </c>
    </row>
    <row r="113" spans="2:2" x14ac:dyDescent="0.25">
      <c r="B113" s="9"/>
    </row>
    <row r="114" spans="2:2" ht="15.75" thickBot="1" x14ac:dyDescent="0.3">
      <c r="B114" s="89"/>
    </row>
    <row r="115" spans="2:2" x14ac:dyDescent="0.25">
      <c r="B115" s="9"/>
    </row>
    <row r="116" spans="2:2" x14ac:dyDescent="0.25">
      <c r="B116" s="9"/>
    </row>
    <row r="117" spans="2:2" ht="18.75" x14ac:dyDescent="0.25">
      <c r="B117" s="45"/>
    </row>
    <row r="118" spans="2:2" ht="15.75" x14ac:dyDescent="0.25">
      <c r="B118" s="44"/>
    </row>
    <row r="119" spans="2:2" x14ac:dyDescent="0.25">
      <c r="B119" s="9"/>
    </row>
    <row r="120" spans="2:2" x14ac:dyDescent="0.25">
      <c r="B120" s="9"/>
    </row>
    <row r="121" spans="2:2" x14ac:dyDescent="0.25">
      <c r="B121" s="9"/>
    </row>
    <row r="122" spans="2:2" ht="15" customHeight="1" x14ac:dyDescent="0.25">
      <c r="B122" s="9"/>
    </row>
    <row r="123" spans="2:2" x14ac:dyDescent="0.25">
      <c r="B123" s="9"/>
    </row>
    <row r="124" spans="2:2" x14ac:dyDescent="0.25">
      <c r="B124" s="9"/>
    </row>
    <row r="125" spans="2:2" ht="15.75" x14ac:dyDescent="0.25">
      <c r="B125" s="44"/>
    </row>
    <row r="126" spans="2:2" x14ac:dyDescent="0.25">
      <c r="B126" s="9"/>
    </row>
    <row r="127" spans="2:2" x14ac:dyDescent="0.25">
      <c r="B127" s="9"/>
    </row>
    <row r="128" spans="2:2" ht="15.75" x14ac:dyDescent="0.25">
      <c r="B128" s="44"/>
    </row>
    <row r="129" spans="2:2" x14ac:dyDescent="0.25">
      <c r="B129" s="9"/>
    </row>
    <row r="130" spans="2:2" x14ac:dyDescent="0.25">
      <c r="B130" s="9"/>
    </row>
    <row r="131" spans="2:2" ht="15.75" x14ac:dyDescent="0.25">
      <c r="B131" s="44"/>
    </row>
    <row r="132" spans="2:2" x14ac:dyDescent="0.25">
      <c r="B132" s="9"/>
    </row>
    <row r="133" spans="2:2" x14ac:dyDescent="0.25">
      <c r="B133" s="9"/>
    </row>
    <row r="134" spans="2:2" x14ac:dyDescent="0.25">
      <c r="B134" s="9"/>
    </row>
    <row r="135" spans="2:2" x14ac:dyDescent="0.25">
      <c r="B135" s="9"/>
    </row>
    <row r="136" spans="2:2" x14ac:dyDescent="0.25">
      <c r="B136" s="9"/>
    </row>
    <row r="137" spans="2:2" x14ac:dyDescent="0.25">
      <c r="B137" s="9"/>
    </row>
    <row r="138" spans="2:2" ht="15.75" x14ac:dyDescent="0.25">
      <c r="B138" s="44"/>
    </row>
    <row r="139" spans="2:2" x14ac:dyDescent="0.25">
      <c r="B139" s="9"/>
    </row>
    <row r="140" spans="2:2" x14ac:dyDescent="0.25">
      <c r="B140" s="9"/>
    </row>
    <row r="141" spans="2:2" ht="15.75" x14ac:dyDescent="0.25">
      <c r="B141" s="44"/>
    </row>
    <row r="142" spans="2:2" x14ac:dyDescent="0.25">
      <c r="B142" s="9"/>
    </row>
    <row r="143" spans="2:2" x14ac:dyDescent="0.25">
      <c r="B143" s="9"/>
    </row>
    <row r="144" spans="2:2" x14ac:dyDescent="0.25">
      <c r="B144" s="9"/>
    </row>
    <row r="145" spans="2:2" ht="15.75" x14ac:dyDescent="0.25">
      <c r="B145" s="44"/>
    </row>
    <row r="146" spans="2:2" x14ac:dyDescent="0.25">
      <c r="B146" s="9"/>
    </row>
    <row r="147" spans="2:2" x14ac:dyDescent="0.25">
      <c r="B147" s="9"/>
    </row>
    <row r="148" spans="2:2" ht="18.75" x14ac:dyDescent="0.25">
      <c r="B148" s="45"/>
    </row>
    <row r="149" spans="2:2" ht="15.75" x14ac:dyDescent="0.25">
      <c r="B149" s="44"/>
    </row>
    <row r="150" spans="2:2" x14ac:dyDescent="0.25">
      <c r="B150" s="9"/>
    </row>
    <row r="151" spans="2:2" x14ac:dyDescent="0.25">
      <c r="B151" s="9"/>
    </row>
    <row r="152" spans="2:2" x14ac:dyDescent="0.25">
      <c r="B152" s="9"/>
    </row>
    <row r="153" spans="2:2" ht="15" customHeight="1" x14ac:dyDescent="0.25">
      <c r="B153" s="9"/>
    </row>
    <row r="154" spans="2:2" ht="15" customHeight="1" x14ac:dyDescent="0.25">
      <c r="B154" s="9"/>
    </row>
    <row r="155" spans="2:2" ht="15.75" x14ac:dyDescent="0.25">
      <c r="B155" s="44"/>
    </row>
    <row r="156" spans="2:2" x14ac:dyDescent="0.25">
      <c r="B156" s="9"/>
    </row>
    <row r="157" spans="2:2" x14ac:dyDescent="0.25">
      <c r="B157" s="9"/>
    </row>
    <row r="158" spans="2:2" x14ac:dyDescent="0.25">
      <c r="B158" s="9"/>
    </row>
    <row r="159" spans="2:2" x14ac:dyDescent="0.25">
      <c r="B159" s="9"/>
    </row>
    <row r="160" spans="2:2" x14ac:dyDescent="0.25">
      <c r="B160" s="9"/>
    </row>
    <row r="161" spans="2:2" ht="18.75" x14ac:dyDescent="0.25">
      <c r="B161" s="46"/>
    </row>
    <row r="162" spans="2:2" ht="15.75" x14ac:dyDescent="0.25">
      <c r="B162" s="44"/>
    </row>
    <row r="163" spans="2:2" ht="15" customHeight="1" x14ac:dyDescent="0.25">
      <c r="B163" s="9"/>
    </row>
    <row r="164" spans="2:2" x14ac:dyDescent="0.25">
      <c r="B164" s="9"/>
    </row>
    <row r="165" spans="2:2" x14ac:dyDescent="0.25">
      <c r="B165" s="9"/>
    </row>
    <row r="166" spans="2:2" x14ac:dyDescent="0.25">
      <c r="B166" s="9"/>
    </row>
    <row r="167" spans="2:2" ht="15.75" x14ac:dyDescent="0.25">
      <c r="B167" s="44"/>
    </row>
    <row r="168" spans="2:2" x14ac:dyDescent="0.25">
      <c r="B168" s="9"/>
    </row>
    <row r="169" spans="2:2" x14ac:dyDescent="0.25">
      <c r="B169" s="9"/>
    </row>
    <row r="170" spans="2:2" ht="15" customHeight="1" x14ac:dyDescent="0.25">
      <c r="B170" s="9"/>
    </row>
    <row r="171" spans="2:2" x14ac:dyDescent="0.25">
      <c r="B171" s="9"/>
    </row>
    <row r="172" spans="2:2" x14ac:dyDescent="0.25">
      <c r="B172" s="9"/>
    </row>
    <row r="173" spans="2:2" x14ac:dyDescent="0.25">
      <c r="B173" s="9"/>
    </row>
    <row r="174" spans="2:2" x14ac:dyDescent="0.25">
      <c r="B174" s="9"/>
    </row>
    <row r="175" spans="2:2" x14ac:dyDescent="0.25">
      <c r="B175" s="9"/>
    </row>
    <row r="176" spans="2:2" x14ac:dyDescent="0.25">
      <c r="B176" s="9"/>
    </row>
    <row r="177" spans="2:2" x14ac:dyDescent="0.25">
      <c r="B177" s="9"/>
    </row>
    <row r="178" spans="2:2" ht="15.75" x14ac:dyDescent="0.25">
      <c r="B178" s="44"/>
    </row>
    <row r="179" spans="2:2" x14ac:dyDescent="0.25">
      <c r="B179" s="9"/>
    </row>
    <row r="180" spans="2:2" x14ac:dyDescent="0.25">
      <c r="B180" s="9"/>
    </row>
    <row r="181" spans="2:2" ht="18.75" x14ac:dyDescent="0.25">
      <c r="B181" s="45"/>
    </row>
    <row r="182" spans="2:2" ht="15.75" x14ac:dyDescent="0.25">
      <c r="B182" s="44"/>
    </row>
    <row r="183" spans="2:2" ht="15" customHeight="1" x14ac:dyDescent="0.25">
      <c r="B183" s="9"/>
    </row>
    <row r="184" spans="2:2" x14ac:dyDescent="0.25">
      <c r="B184" s="9"/>
    </row>
    <row r="185" spans="2:2" ht="15" customHeight="1" x14ac:dyDescent="0.25">
      <c r="B185" s="9"/>
    </row>
    <row r="186" spans="2:2" ht="15" customHeight="1" x14ac:dyDescent="0.25">
      <c r="B186" s="9"/>
    </row>
    <row r="187" spans="2:2" ht="15.75" x14ac:dyDescent="0.25">
      <c r="B187" s="44"/>
    </row>
    <row r="188" spans="2:2" x14ac:dyDescent="0.25">
      <c r="B188" s="9"/>
    </row>
    <row r="189" spans="2:2" x14ac:dyDescent="0.25">
      <c r="B189" s="9"/>
    </row>
    <row r="190" spans="2:2" x14ac:dyDescent="0.25">
      <c r="B190" s="9"/>
    </row>
    <row r="191" spans="2:2" ht="18.75" x14ac:dyDescent="0.25">
      <c r="B191" s="46"/>
    </row>
    <row r="192" spans="2:2" ht="15.75" x14ac:dyDescent="0.25">
      <c r="B192" s="44"/>
    </row>
    <row r="193" spans="2:2" x14ac:dyDescent="0.25">
      <c r="B193" s="9"/>
    </row>
    <row r="194" spans="2:2" x14ac:dyDescent="0.25">
      <c r="B194" s="9"/>
    </row>
    <row r="195" spans="2:2" x14ac:dyDescent="0.25">
      <c r="B195" s="9"/>
    </row>
    <row r="196" spans="2:2" ht="15" customHeight="1" x14ac:dyDescent="0.25">
      <c r="B196" s="9"/>
    </row>
    <row r="197" spans="2:2" x14ac:dyDescent="0.25">
      <c r="B197" s="9"/>
    </row>
    <row r="198" spans="2:2" x14ac:dyDescent="0.25">
      <c r="B198" s="9"/>
    </row>
    <row r="199" spans="2:2" x14ac:dyDescent="0.25">
      <c r="B199" s="9"/>
    </row>
    <row r="200" spans="2:2" x14ac:dyDescent="0.25">
      <c r="B200" s="9"/>
    </row>
    <row r="201" spans="2:2" ht="18.75" x14ac:dyDescent="0.25">
      <c r="B201" s="46"/>
    </row>
    <row r="202" spans="2:2" ht="15.75" x14ac:dyDescent="0.25">
      <c r="B202" s="44"/>
    </row>
    <row r="203" spans="2:2" x14ac:dyDescent="0.25">
      <c r="B203" s="9"/>
    </row>
    <row r="204" spans="2:2" x14ac:dyDescent="0.25">
      <c r="B204" s="9"/>
    </row>
    <row r="205" spans="2:2" ht="15" customHeight="1" x14ac:dyDescent="0.25">
      <c r="B205" s="9"/>
    </row>
    <row r="206" spans="2:2" ht="15" customHeight="1" x14ac:dyDescent="0.25">
      <c r="B206" s="9"/>
    </row>
    <row r="207" spans="2:2" ht="15.75" x14ac:dyDescent="0.25">
      <c r="B207" s="44"/>
    </row>
    <row r="208" spans="2:2" x14ac:dyDescent="0.25">
      <c r="B208" s="9"/>
    </row>
    <row r="209" spans="2:2" x14ac:dyDescent="0.25">
      <c r="B209" s="9"/>
    </row>
    <row r="210" spans="2:2" ht="18.75" x14ac:dyDescent="0.25">
      <c r="B210" s="42"/>
    </row>
    <row r="211" spans="2:2" ht="15.75" x14ac:dyDescent="0.25">
      <c r="B211" s="44"/>
    </row>
    <row r="212" spans="2:2" ht="15" customHeight="1" x14ac:dyDescent="0.25">
      <c r="B212" s="9"/>
    </row>
    <row r="213" spans="2:2" x14ac:dyDescent="0.25">
      <c r="B213" s="9"/>
    </row>
    <row r="214" spans="2:2" x14ac:dyDescent="0.25">
      <c r="B214" s="9"/>
    </row>
    <row r="215" spans="2:2" ht="15" customHeight="1" x14ac:dyDescent="0.25">
      <c r="B215" s="9"/>
    </row>
    <row r="216" spans="2:2" x14ac:dyDescent="0.25">
      <c r="B216" s="9"/>
    </row>
    <row r="217" spans="2:2" x14ac:dyDescent="0.25">
      <c r="B217" s="9"/>
    </row>
    <row r="218" spans="2:2" ht="15.75" x14ac:dyDescent="0.25">
      <c r="B218" s="44"/>
    </row>
    <row r="219" spans="2:2" x14ac:dyDescent="0.25">
      <c r="B219" s="9"/>
    </row>
    <row r="220" spans="2:2" x14ac:dyDescent="0.25">
      <c r="B220" s="9"/>
    </row>
    <row r="221" spans="2:2" x14ac:dyDescent="0.25">
      <c r="B221" s="9"/>
    </row>
    <row r="222" spans="2:2" x14ac:dyDescent="0.25">
      <c r="B222" s="9"/>
    </row>
    <row r="223" spans="2:2" ht="18.75" x14ac:dyDescent="0.3">
      <c r="B223" s="47"/>
    </row>
    <row r="224" spans="2:2" ht="15.75" x14ac:dyDescent="0.25">
      <c r="B224" s="44"/>
    </row>
    <row r="225" spans="2:2" ht="15" customHeight="1" x14ac:dyDescent="0.25">
      <c r="B225" s="9"/>
    </row>
    <row r="226" spans="2:2" ht="15" customHeight="1" x14ac:dyDescent="0.25">
      <c r="B226" s="9"/>
    </row>
    <row r="227" spans="2:2" ht="15.75" x14ac:dyDescent="0.25">
      <c r="B227" s="44"/>
    </row>
    <row r="228" spans="2:2" x14ac:dyDescent="0.25">
      <c r="B228" s="9"/>
    </row>
    <row r="229" spans="2:2" x14ac:dyDescent="0.25">
      <c r="B229" s="9"/>
    </row>
    <row r="230" spans="2:2" x14ac:dyDescent="0.25">
      <c r="B230" s="9"/>
    </row>
    <row r="231" spans="2:2" ht="15.75" x14ac:dyDescent="0.25">
      <c r="B231" s="44"/>
    </row>
    <row r="232" spans="2:2" x14ac:dyDescent="0.25">
      <c r="B232" s="9"/>
    </row>
    <row r="233" spans="2:2" x14ac:dyDescent="0.25">
      <c r="B233" s="9"/>
    </row>
    <row r="234" spans="2:2" ht="15.75" x14ac:dyDescent="0.25">
      <c r="B234" s="44"/>
    </row>
    <row r="235" spans="2:2" x14ac:dyDescent="0.25">
      <c r="B235" s="9"/>
    </row>
    <row r="236" spans="2:2" x14ac:dyDescent="0.25">
      <c r="B236" s="9"/>
    </row>
    <row r="237" spans="2:2" x14ac:dyDescent="0.25">
      <c r="B237" s="9"/>
    </row>
    <row r="238" spans="2:2" ht="15.75" x14ac:dyDescent="0.25">
      <c r="B238" s="44"/>
    </row>
    <row r="239" spans="2:2" x14ac:dyDescent="0.25">
      <c r="B239" s="9"/>
    </row>
    <row r="240" spans="2:2" x14ac:dyDescent="0.25">
      <c r="B240" s="9"/>
    </row>
    <row r="241" spans="2:2" ht="15.75" x14ac:dyDescent="0.25">
      <c r="B241" s="44"/>
    </row>
    <row r="242" spans="2:2" x14ac:dyDescent="0.25">
      <c r="B242" s="9"/>
    </row>
    <row r="243" spans="2:2" ht="15" customHeight="1" x14ac:dyDescent="0.25">
      <c r="B243" s="9"/>
    </row>
    <row r="244" spans="2:2" x14ac:dyDescent="0.25">
      <c r="B244" s="9"/>
    </row>
    <row r="245" spans="2:2" x14ac:dyDescent="0.25">
      <c r="B245" s="9"/>
    </row>
    <row r="246" spans="2:2" ht="15.75" x14ac:dyDescent="0.25">
      <c r="B246" s="44"/>
    </row>
    <row r="247" spans="2:2" x14ac:dyDescent="0.25">
      <c r="B247" s="9"/>
    </row>
    <row r="248" spans="2:2" x14ac:dyDescent="0.25">
      <c r="B248" s="9"/>
    </row>
    <row r="249" spans="2:2" x14ac:dyDescent="0.25">
      <c r="B249" s="9"/>
    </row>
    <row r="250" spans="2:2" ht="15" customHeight="1" x14ac:dyDescent="0.25">
      <c r="B250" s="9"/>
    </row>
    <row r="251" spans="2:2" ht="15" customHeight="1" x14ac:dyDescent="0.25">
      <c r="B251" s="9"/>
    </row>
    <row r="252" spans="2:2" ht="15" customHeight="1" x14ac:dyDescent="0.25">
      <c r="B252" s="9"/>
    </row>
    <row r="253" spans="2:2" x14ac:dyDescent="0.25">
      <c r="B253" s="9"/>
    </row>
    <row r="254" spans="2:2" x14ac:dyDescent="0.25">
      <c r="B254" s="9"/>
    </row>
    <row r="255" spans="2:2" x14ac:dyDescent="0.25">
      <c r="B255" s="9"/>
    </row>
    <row r="256" spans="2:2" x14ac:dyDescent="0.25">
      <c r="B256" s="9"/>
    </row>
    <row r="257" spans="2:2" x14ac:dyDescent="0.25">
      <c r="B257" s="9"/>
    </row>
    <row r="258" spans="2:2" x14ac:dyDescent="0.25">
      <c r="B258" s="9"/>
    </row>
    <row r="259" spans="2:2" x14ac:dyDescent="0.25">
      <c r="B259" s="9"/>
    </row>
    <row r="260" spans="2:2" x14ac:dyDescent="0.25">
      <c r="B260" s="9"/>
    </row>
    <row r="261" spans="2:2" ht="15.75" x14ac:dyDescent="0.25">
      <c r="B261" s="44"/>
    </row>
    <row r="262" spans="2:2" x14ac:dyDescent="0.25">
      <c r="B262" s="9"/>
    </row>
    <row r="263" spans="2:2" x14ac:dyDescent="0.25">
      <c r="B263" s="9"/>
    </row>
    <row r="264" spans="2:2" ht="15.75" thickBot="1" x14ac:dyDescent="0.3">
      <c r="B264" s="48"/>
    </row>
    <row r="265" spans="2:2"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69" orientation="portrait" horizontalDpi="1200" verticalDpi="1200" r:id="rId1"/>
  <headerFooter>
    <oddFooter>&amp;L&amp;D&amp;CPage &amp;P of &amp;N&amp;R[Insert classification]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613D-26CF-45B6-93A6-1CA095F1A8D8}">
  <sheetPr codeName="Sheet7">
    <pageSetUpPr fitToPage="1"/>
  </sheetPr>
  <dimension ref="B2:D134"/>
  <sheetViews>
    <sheetView showGridLines="0" zoomScaleNormal="100" workbookViewId="0"/>
  </sheetViews>
  <sheetFormatPr defaultColWidth="9.140625" defaultRowHeight="15" x14ac:dyDescent="0.25"/>
  <cols>
    <col min="1" max="1" width="2.85546875" style="22" customWidth="1"/>
    <col min="2" max="2" width="4.28515625" style="22" customWidth="1"/>
    <col min="3" max="3" width="84.28515625" style="22" customWidth="1"/>
    <col min="4" max="4" width="50.140625" style="22" customWidth="1"/>
    <col min="5" max="16384" width="9.140625" style="22"/>
  </cols>
  <sheetData>
    <row r="2" spans="2:4" x14ac:dyDescent="0.25">
      <c r="B2" s="21"/>
    </row>
    <row r="3" spans="2:4" x14ac:dyDescent="0.25">
      <c r="B3" s="21"/>
    </row>
    <row r="4" spans="2:4" x14ac:dyDescent="0.25">
      <c r="B4" s="21"/>
    </row>
    <row r="5" spans="2:4" x14ac:dyDescent="0.25">
      <c r="B5" s="21"/>
    </row>
    <row r="6" spans="2:4" x14ac:dyDescent="0.25">
      <c r="B6" s="21"/>
    </row>
    <row r="7" spans="2:4" x14ac:dyDescent="0.25">
      <c r="B7" s="21"/>
    </row>
    <row r="8" spans="2:4" ht="21" x14ac:dyDescent="0.25">
      <c r="B8" s="23" t="s">
        <v>391</v>
      </c>
      <c r="C8" s="24"/>
    </row>
    <row r="9" spans="2:4" x14ac:dyDescent="0.25">
      <c r="B9" s="24" t="s">
        <v>189</v>
      </c>
      <c r="C9" s="24"/>
    </row>
    <row r="10" spans="2:4" x14ac:dyDescent="0.25">
      <c r="B10" s="24" t="s">
        <v>87</v>
      </c>
      <c r="C10" s="24"/>
    </row>
    <row r="11" spans="2:4" x14ac:dyDescent="0.25">
      <c r="B11" s="24"/>
      <c r="C11" s="24"/>
    </row>
    <row r="12" spans="2:4" ht="21" customHeight="1" x14ac:dyDescent="0.25">
      <c r="B12" s="93" t="s">
        <v>88</v>
      </c>
      <c r="C12" s="50" t="s">
        <v>190</v>
      </c>
      <c r="D12" s="49" t="s">
        <v>89</v>
      </c>
    </row>
    <row r="13" spans="2:4" x14ac:dyDescent="0.25">
      <c r="B13" s="91"/>
    </row>
    <row r="14" spans="2:4" ht="45" x14ac:dyDescent="0.25">
      <c r="B14" s="92">
        <v>1</v>
      </c>
      <c r="C14" s="90" t="s">
        <v>90</v>
      </c>
      <c r="D14" s="2" t="s">
        <v>295</v>
      </c>
    </row>
    <row r="15" spans="2:4" x14ac:dyDescent="0.25">
      <c r="B15" s="92">
        <v>2</v>
      </c>
      <c r="C15" s="90" t="s">
        <v>392</v>
      </c>
      <c r="D15" s="2" t="s">
        <v>295</v>
      </c>
    </row>
    <row r="16" spans="2:4" x14ac:dyDescent="0.25">
      <c r="B16" s="92">
        <v>3</v>
      </c>
      <c r="C16" s="90" t="s">
        <v>91</v>
      </c>
      <c r="D16" s="2" t="s">
        <v>296</v>
      </c>
    </row>
    <row r="17" spans="2:4" ht="30" x14ac:dyDescent="0.25">
      <c r="B17" s="92">
        <v>4</v>
      </c>
      <c r="C17" s="90" t="s">
        <v>393</v>
      </c>
      <c r="D17" s="2" t="s">
        <v>297</v>
      </c>
    </row>
    <row r="18" spans="2:4" ht="30" x14ac:dyDescent="0.25">
      <c r="B18" s="92">
        <v>5</v>
      </c>
      <c r="C18" s="90" t="s">
        <v>92</v>
      </c>
      <c r="D18" s="2" t="s">
        <v>299</v>
      </c>
    </row>
    <row r="19" spans="2:4" ht="30" x14ac:dyDescent="0.25">
      <c r="B19" s="92">
        <v>6</v>
      </c>
      <c r="C19" s="90" t="s">
        <v>93</v>
      </c>
      <c r="D19" s="2" t="s">
        <v>300</v>
      </c>
    </row>
    <row r="20" spans="2:4" x14ac:dyDescent="0.25">
      <c r="B20" s="92">
        <v>7</v>
      </c>
      <c r="C20" s="90" t="s">
        <v>94</v>
      </c>
      <c r="D20" s="2" t="s">
        <v>302</v>
      </c>
    </row>
    <row r="21" spans="2:4" x14ac:dyDescent="0.25">
      <c r="B21" s="92">
        <v>8</v>
      </c>
      <c r="C21" s="90" t="s">
        <v>394</v>
      </c>
      <c r="D21" s="2" t="s">
        <v>357</v>
      </c>
    </row>
    <row r="22" spans="2:4" ht="30" x14ac:dyDescent="0.25">
      <c r="B22" s="92">
        <v>9</v>
      </c>
      <c r="C22" s="90" t="s">
        <v>95</v>
      </c>
      <c r="D22" s="2" t="s">
        <v>339</v>
      </c>
    </row>
    <row r="23" spans="2:4" ht="45" x14ac:dyDescent="0.25">
      <c r="B23" s="92">
        <v>10</v>
      </c>
      <c r="C23" s="90" t="s">
        <v>395</v>
      </c>
      <c r="D23" s="2" t="s">
        <v>317</v>
      </c>
    </row>
    <row r="24" spans="2:4" x14ac:dyDescent="0.25">
      <c r="B24" s="92">
        <v>11</v>
      </c>
      <c r="C24" s="90" t="s">
        <v>396</v>
      </c>
      <c r="D24" s="2" t="s">
        <v>333</v>
      </c>
    </row>
    <row r="25" spans="2:4" x14ac:dyDescent="0.25">
      <c r="B25" s="92">
        <v>12</v>
      </c>
      <c r="C25" s="90" t="s">
        <v>96</v>
      </c>
      <c r="D25" s="2" t="s">
        <v>334</v>
      </c>
    </row>
    <row r="26" spans="2:4" x14ac:dyDescent="0.25">
      <c r="B26" s="92">
        <v>13</v>
      </c>
      <c r="C26" s="90" t="s">
        <v>397</v>
      </c>
      <c r="D26" s="2" t="s">
        <v>298</v>
      </c>
    </row>
    <row r="27" spans="2:4" ht="30" x14ac:dyDescent="0.25">
      <c r="B27" s="92">
        <v>14</v>
      </c>
      <c r="C27" s="90" t="s">
        <v>288</v>
      </c>
      <c r="D27" s="2" t="s">
        <v>335</v>
      </c>
    </row>
    <row r="28" spans="2:4" ht="30" x14ac:dyDescent="0.25">
      <c r="B28" s="92">
        <v>15</v>
      </c>
      <c r="C28" s="90" t="s">
        <v>289</v>
      </c>
      <c r="D28" s="2" t="s">
        <v>336</v>
      </c>
    </row>
    <row r="29" spans="2:4" ht="30" x14ac:dyDescent="0.25">
      <c r="B29" s="92">
        <v>16</v>
      </c>
      <c r="C29" s="90" t="s">
        <v>398</v>
      </c>
      <c r="D29" s="2" t="s">
        <v>337</v>
      </c>
    </row>
    <row r="30" spans="2:4" ht="30" x14ac:dyDescent="0.25">
      <c r="B30" s="92">
        <v>17</v>
      </c>
      <c r="C30" s="90" t="s">
        <v>97</v>
      </c>
      <c r="D30" s="2" t="s">
        <v>303</v>
      </c>
    </row>
    <row r="31" spans="2:4" ht="30" x14ac:dyDescent="0.25">
      <c r="B31" s="92">
        <v>18</v>
      </c>
      <c r="C31" s="90" t="s">
        <v>98</v>
      </c>
      <c r="D31" s="2" t="s">
        <v>303</v>
      </c>
    </row>
    <row r="32" spans="2:4" ht="30" x14ac:dyDescent="0.25">
      <c r="B32" s="92">
        <v>19</v>
      </c>
      <c r="C32" s="90" t="s">
        <v>99</v>
      </c>
      <c r="D32" s="2" t="s">
        <v>304</v>
      </c>
    </row>
    <row r="33" spans="2:4" x14ac:dyDescent="0.25">
      <c r="B33" s="92">
        <v>20</v>
      </c>
      <c r="C33" s="90" t="s">
        <v>100</v>
      </c>
      <c r="D33" s="2" t="s">
        <v>305</v>
      </c>
    </row>
    <row r="34" spans="2:4" x14ac:dyDescent="0.25">
      <c r="B34" s="92">
        <v>21</v>
      </c>
      <c r="C34" s="90" t="s">
        <v>101</v>
      </c>
      <c r="D34" s="2" t="s">
        <v>317</v>
      </c>
    </row>
    <row r="35" spans="2:4" x14ac:dyDescent="0.25">
      <c r="B35" s="92">
        <v>22</v>
      </c>
      <c r="C35" s="90" t="s">
        <v>102</v>
      </c>
      <c r="D35" s="2" t="s">
        <v>306</v>
      </c>
    </row>
    <row r="36" spans="2:4" x14ac:dyDescent="0.25">
      <c r="B36" s="92">
        <v>23</v>
      </c>
      <c r="C36" s="90" t="s">
        <v>103</v>
      </c>
      <c r="D36" s="2" t="s">
        <v>307</v>
      </c>
    </row>
    <row r="37" spans="2:4" ht="30" x14ac:dyDescent="0.25">
      <c r="B37" s="92">
        <v>24</v>
      </c>
      <c r="C37" s="90" t="s">
        <v>104</v>
      </c>
      <c r="D37" s="2" t="s">
        <v>304</v>
      </c>
    </row>
    <row r="38" spans="2:4" x14ac:dyDescent="0.25">
      <c r="B38" s="92">
        <v>25</v>
      </c>
      <c r="C38" s="90" t="s">
        <v>105</v>
      </c>
      <c r="D38" s="2" t="s">
        <v>351</v>
      </c>
    </row>
    <row r="39" spans="2:4" x14ac:dyDescent="0.25">
      <c r="B39" s="92">
        <v>26</v>
      </c>
      <c r="C39" s="90" t="s">
        <v>399</v>
      </c>
      <c r="D39" s="2" t="s">
        <v>351</v>
      </c>
    </row>
    <row r="40" spans="2:4" ht="30" x14ac:dyDescent="0.25">
      <c r="B40" s="92">
        <v>27</v>
      </c>
      <c r="C40" s="90" t="s">
        <v>400</v>
      </c>
      <c r="D40" s="2" t="s">
        <v>351</v>
      </c>
    </row>
    <row r="41" spans="2:4" x14ac:dyDescent="0.25">
      <c r="B41" s="92">
        <v>28</v>
      </c>
      <c r="C41" s="90" t="s">
        <v>106</v>
      </c>
      <c r="D41" s="2" t="s">
        <v>309</v>
      </c>
    </row>
    <row r="42" spans="2:4" ht="30" x14ac:dyDescent="0.25">
      <c r="B42" s="92">
        <v>29</v>
      </c>
      <c r="C42" s="90" t="s">
        <v>401</v>
      </c>
      <c r="D42" s="2" t="s">
        <v>309</v>
      </c>
    </row>
    <row r="43" spans="2:4" x14ac:dyDescent="0.25">
      <c r="B43" s="92">
        <v>30</v>
      </c>
      <c r="C43" s="90" t="s">
        <v>107</v>
      </c>
      <c r="D43" s="2" t="s">
        <v>310</v>
      </c>
    </row>
    <row r="44" spans="2:4" x14ac:dyDescent="0.25">
      <c r="B44" s="92">
        <v>31</v>
      </c>
      <c r="C44" s="90" t="s">
        <v>108</v>
      </c>
      <c r="D44" s="2" t="s">
        <v>312</v>
      </c>
    </row>
    <row r="45" spans="2:4" ht="30" x14ac:dyDescent="0.25">
      <c r="B45" s="92">
        <v>32</v>
      </c>
      <c r="C45" s="90" t="s">
        <v>402</v>
      </c>
      <c r="D45" s="2" t="s">
        <v>358</v>
      </c>
    </row>
    <row r="46" spans="2:4" x14ac:dyDescent="0.25">
      <c r="B46" s="92">
        <v>33</v>
      </c>
      <c r="C46" s="90" t="s">
        <v>403</v>
      </c>
      <c r="D46" s="2" t="s">
        <v>311</v>
      </c>
    </row>
    <row r="47" spans="2:4" ht="30" x14ac:dyDescent="0.25">
      <c r="B47" s="92">
        <v>34</v>
      </c>
      <c r="C47" s="90" t="s">
        <v>109</v>
      </c>
      <c r="D47" s="2" t="s">
        <v>312</v>
      </c>
    </row>
    <row r="48" spans="2:4" x14ac:dyDescent="0.25">
      <c r="B48" s="92">
        <v>35</v>
      </c>
      <c r="C48" s="90" t="s">
        <v>110</v>
      </c>
      <c r="D48" s="2" t="s">
        <v>312</v>
      </c>
    </row>
    <row r="49" spans="2:4" x14ac:dyDescent="0.25">
      <c r="B49" s="92">
        <v>36</v>
      </c>
      <c r="C49" s="90" t="s">
        <v>111</v>
      </c>
      <c r="D49" s="2" t="s">
        <v>311</v>
      </c>
    </row>
    <row r="50" spans="2:4" x14ac:dyDescent="0.25">
      <c r="B50" s="92">
        <v>37</v>
      </c>
      <c r="C50" s="90" t="s">
        <v>112</v>
      </c>
      <c r="D50" s="2" t="s">
        <v>359</v>
      </c>
    </row>
    <row r="51" spans="2:4" x14ac:dyDescent="0.25">
      <c r="B51" s="92">
        <v>38</v>
      </c>
      <c r="C51" s="90" t="s">
        <v>113</v>
      </c>
      <c r="D51" s="2" t="s">
        <v>361</v>
      </c>
    </row>
    <row r="52" spans="2:4" x14ac:dyDescent="0.25">
      <c r="B52" s="92">
        <v>39</v>
      </c>
      <c r="C52" s="90" t="s">
        <v>114</v>
      </c>
      <c r="D52" s="2" t="s">
        <v>311</v>
      </c>
    </row>
    <row r="53" spans="2:4" ht="30" x14ac:dyDescent="0.25">
      <c r="B53" s="92">
        <v>40</v>
      </c>
      <c r="C53" s="90" t="s">
        <v>404</v>
      </c>
      <c r="D53" s="2" t="s">
        <v>374</v>
      </c>
    </row>
    <row r="54" spans="2:4" x14ac:dyDescent="0.25">
      <c r="B54" s="92">
        <v>41</v>
      </c>
      <c r="C54" s="90" t="s">
        <v>405</v>
      </c>
      <c r="D54" s="2" t="s">
        <v>360</v>
      </c>
    </row>
    <row r="55" spans="2:4" ht="30" x14ac:dyDescent="0.25">
      <c r="B55" s="92">
        <v>42</v>
      </c>
      <c r="C55" s="90" t="s">
        <v>115</v>
      </c>
      <c r="D55" s="2" t="s">
        <v>380</v>
      </c>
    </row>
    <row r="56" spans="2:4" ht="30" x14ac:dyDescent="0.25">
      <c r="B56" s="92">
        <v>43</v>
      </c>
      <c r="C56" s="90" t="s">
        <v>406</v>
      </c>
      <c r="D56" s="2" t="s">
        <v>380</v>
      </c>
    </row>
    <row r="57" spans="2:4" x14ac:dyDescent="0.25">
      <c r="B57" s="92">
        <v>44</v>
      </c>
      <c r="C57" s="90" t="s">
        <v>116</v>
      </c>
      <c r="D57" s="2" t="s">
        <v>342</v>
      </c>
    </row>
    <row r="58" spans="2:4" x14ac:dyDescent="0.25">
      <c r="B58" s="92">
        <v>45</v>
      </c>
      <c r="C58" s="90" t="s">
        <v>407</v>
      </c>
      <c r="D58" s="90" t="s">
        <v>167</v>
      </c>
    </row>
    <row r="59" spans="2:4" x14ac:dyDescent="0.25">
      <c r="B59" s="92">
        <v>46</v>
      </c>
      <c r="C59" s="90" t="s">
        <v>117</v>
      </c>
      <c r="D59" s="2" t="s">
        <v>343</v>
      </c>
    </row>
    <row r="60" spans="2:4" ht="30" x14ac:dyDescent="0.25">
      <c r="B60" s="92">
        <v>47</v>
      </c>
      <c r="C60" s="90" t="s">
        <v>408</v>
      </c>
      <c r="D60" s="2" t="s">
        <v>346</v>
      </c>
    </row>
    <row r="61" spans="2:4" x14ac:dyDescent="0.25">
      <c r="B61" s="92">
        <v>48</v>
      </c>
      <c r="C61" s="90" t="s">
        <v>118</v>
      </c>
      <c r="D61" s="2" t="s">
        <v>347</v>
      </c>
    </row>
    <row r="62" spans="2:4" x14ac:dyDescent="0.25">
      <c r="B62" s="92">
        <v>49</v>
      </c>
      <c r="C62" s="90" t="s">
        <v>409</v>
      </c>
      <c r="D62" s="2" t="s">
        <v>343</v>
      </c>
    </row>
    <row r="63" spans="2:4" x14ac:dyDescent="0.25">
      <c r="B63" s="92">
        <v>50</v>
      </c>
      <c r="C63" s="90" t="s">
        <v>119</v>
      </c>
      <c r="D63" s="2" t="s">
        <v>349</v>
      </c>
    </row>
    <row r="64" spans="2:4" x14ac:dyDescent="0.25">
      <c r="B64" s="92">
        <v>51</v>
      </c>
      <c r="C64" s="90" t="s">
        <v>120</v>
      </c>
      <c r="D64" s="2" t="s">
        <v>352</v>
      </c>
    </row>
    <row r="65" spans="2:4" x14ac:dyDescent="0.25">
      <c r="B65" s="92">
        <v>52</v>
      </c>
      <c r="C65" s="90" t="s">
        <v>410</v>
      </c>
      <c r="D65" s="2" t="s">
        <v>353</v>
      </c>
    </row>
    <row r="66" spans="2:4" ht="30" x14ac:dyDescent="0.25">
      <c r="B66" s="92">
        <v>53</v>
      </c>
      <c r="C66" s="90" t="s">
        <v>411</v>
      </c>
      <c r="D66" s="2" t="s">
        <v>354</v>
      </c>
    </row>
    <row r="67" spans="2:4" ht="30" x14ac:dyDescent="0.25">
      <c r="B67" s="92">
        <v>54</v>
      </c>
      <c r="C67" s="90" t="s">
        <v>121</v>
      </c>
      <c r="D67" s="2" t="s">
        <v>351</v>
      </c>
    </row>
    <row r="68" spans="2:4" x14ac:dyDescent="0.25">
      <c r="B68" s="92">
        <v>55</v>
      </c>
      <c r="C68" s="90" t="s">
        <v>122</v>
      </c>
      <c r="D68" s="2" t="s">
        <v>350</v>
      </c>
    </row>
    <row r="69" spans="2:4" x14ac:dyDescent="0.25">
      <c r="B69" s="92">
        <v>56</v>
      </c>
      <c r="C69" s="90" t="s">
        <v>123</v>
      </c>
      <c r="D69" s="2" t="s">
        <v>355</v>
      </c>
    </row>
    <row r="70" spans="2:4" ht="30" x14ac:dyDescent="0.25">
      <c r="B70" s="92">
        <v>57</v>
      </c>
      <c r="C70" s="90" t="s">
        <v>412</v>
      </c>
      <c r="D70" s="2" t="s">
        <v>357</v>
      </c>
    </row>
    <row r="71" spans="2:4" ht="30" x14ac:dyDescent="0.25">
      <c r="B71" s="92">
        <v>58</v>
      </c>
      <c r="C71" s="90" t="s">
        <v>124</v>
      </c>
      <c r="D71" s="2" t="s">
        <v>348</v>
      </c>
    </row>
    <row r="72" spans="2:4" x14ac:dyDescent="0.25">
      <c r="B72" s="92">
        <v>59</v>
      </c>
      <c r="C72" s="90" t="s">
        <v>413</v>
      </c>
      <c r="D72" s="2" t="s">
        <v>331</v>
      </c>
    </row>
    <row r="73" spans="2:4" ht="30" x14ac:dyDescent="0.25">
      <c r="B73" s="92">
        <v>60</v>
      </c>
      <c r="C73" s="90" t="s">
        <v>414</v>
      </c>
      <c r="D73" s="2" t="s">
        <v>388</v>
      </c>
    </row>
    <row r="74" spans="2:4" x14ac:dyDescent="0.25">
      <c r="B74" s="92">
        <v>61</v>
      </c>
      <c r="C74" s="90" t="s">
        <v>125</v>
      </c>
      <c r="D74" s="2" t="s">
        <v>362</v>
      </c>
    </row>
    <row r="75" spans="2:4" ht="30" x14ac:dyDescent="0.25">
      <c r="B75" s="92">
        <v>62</v>
      </c>
      <c r="C75" s="90" t="s">
        <v>415</v>
      </c>
      <c r="D75" s="2" t="s">
        <v>387</v>
      </c>
    </row>
    <row r="76" spans="2:4" ht="30" x14ac:dyDescent="0.25">
      <c r="B76" s="92">
        <v>63</v>
      </c>
      <c r="C76" s="90" t="s">
        <v>126</v>
      </c>
      <c r="D76" s="2" t="s">
        <v>317</v>
      </c>
    </row>
    <row r="77" spans="2:4" ht="30" x14ac:dyDescent="0.25">
      <c r="B77" s="92">
        <v>64</v>
      </c>
      <c r="C77" s="90" t="s">
        <v>416</v>
      </c>
      <c r="D77" s="2" t="s">
        <v>363</v>
      </c>
    </row>
    <row r="78" spans="2:4" x14ac:dyDescent="0.25">
      <c r="B78" s="92">
        <v>65</v>
      </c>
      <c r="C78" s="90" t="s">
        <v>417</v>
      </c>
      <c r="D78" s="2" t="s">
        <v>369</v>
      </c>
    </row>
    <row r="79" spans="2:4" x14ac:dyDescent="0.25">
      <c r="B79" s="92">
        <v>66</v>
      </c>
      <c r="C79" s="90" t="s">
        <v>127</v>
      </c>
      <c r="D79" s="2" t="s">
        <v>371</v>
      </c>
    </row>
    <row r="80" spans="2:4" x14ac:dyDescent="0.25">
      <c r="B80" s="92">
        <v>67</v>
      </c>
      <c r="C80" s="90" t="s">
        <v>128</v>
      </c>
      <c r="D80" s="2" t="s">
        <v>371</v>
      </c>
    </row>
    <row r="81" spans="2:4" x14ac:dyDescent="0.25">
      <c r="B81" s="92">
        <v>68</v>
      </c>
      <c r="C81" s="90" t="s">
        <v>418</v>
      </c>
      <c r="D81" s="2" t="s">
        <v>371</v>
      </c>
    </row>
    <row r="82" spans="2:4" ht="30" x14ac:dyDescent="0.25">
      <c r="B82" s="92">
        <v>69</v>
      </c>
      <c r="C82" s="90" t="s">
        <v>129</v>
      </c>
      <c r="D82" s="2" t="s">
        <v>373</v>
      </c>
    </row>
    <row r="83" spans="2:4" ht="30" x14ac:dyDescent="0.25">
      <c r="B83" s="92">
        <v>70</v>
      </c>
      <c r="C83" s="90" t="s">
        <v>130</v>
      </c>
      <c r="D83" s="2" t="s">
        <v>317</v>
      </c>
    </row>
    <row r="84" spans="2:4" ht="30" x14ac:dyDescent="0.25">
      <c r="B84" s="92">
        <v>71</v>
      </c>
      <c r="C84" s="90" t="s">
        <v>131</v>
      </c>
      <c r="D84" s="2" t="s">
        <v>375</v>
      </c>
    </row>
    <row r="85" spans="2:4" x14ac:dyDescent="0.25">
      <c r="B85" s="92">
        <v>72</v>
      </c>
      <c r="C85" s="90" t="s">
        <v>419</v>
      </c>
      <c r="D85" s="2" t="s">
        <v>364</v>
      </c>
    </row>
    <row r="86" spans="2:4" ht="30" x14ac:dyDescent="0.25">
      <c r="B86" s="92">
        <v>73</v>
      </c>
      <c r="C86" s="90" t="s">
        <v>132</v>
      </c>
      <c r="D86" s="2" t="s">
        <v>375</v>
      </c>
    </row>
    <row r="87" spans="2:4" ht="30" x14ac:dyDescent="0.25">
      <c r="B87" s="92">
        <v>74</v>
      </c>
      <c r="C87" s="90" t="s">
        <v>420</v>
      </c>
      <c r="D87" s="2" t="s">
        <v>390</v>
      </c>
    </row>
    <row r="88" spans="2:4" x14ac:dyDescent="0.25">
      <c r="B88" s="92">
        <v>75</v>
      </c>
      <c r="C88" s="90" t="s">
        <v>421</v>
      </c>
      <c r="D88" s="2" t="s">
        <v>376</v>
      </c>
    </row>
    <row r="89" spans="2:4" ht="30" x14ac:dyDescent="0.25">
      <c r="B89" s="92">
        <v>76</v>
      </c>
      <c r="C89" s="90" t="s">
        <v>133</v>
      </c>
      <c r="D89" s="2" t="s">
        <v>377</v>
      </c>
    </row>
    <row r="90" spans="2:4" ht="30" x14ac:dyDescent="0.25">
      <c r="B90" s="92">
        <v>77</v>
      </c>
      <c r="C90" s="90" t="s">
        <v>422</v>
      </c>
      <c r="D90" s="2" t="s">
        <v>378</v>
      </c>
    </row>
    <row r="91" spans="2:4" x14ac:dyDescent="0.25">
      <c r="B91" s="92">
        <v>78</v>
      </c>
      <c r="C91" s="90" t="s">
        <v>423</v>
      </c>
      <c r="D91" s="2" t="s">
        <v>376</v>
      </c>
    </row>
    <row r="92" spans="2:4" x14ac:dyDescent="0.25">
      <c r="B92" s="92">
        <v>79</v>
      </c>
      <c r="C92" s="90" t="s">
        <v>134</v>
      </c>
      <c r="D92" s="2" t="s">
        <v>308</v>
      </c>
    </row>
    <row r="93" spans="2:4" x14ac:dyDescent="0.25">
      <c r="B93" s="92">
        <v>80</v>
      </c>
      <c r="C93" s="90" t="s">
        <v>424</v>
      </c>
      <c r="D93" s="2" t="s">
        <v>308</v>
      </c>
    </row>
    <row r="94" spans="2:4" ht="30" x14ac:dyDescent="0.25">
      <c r="B94" s="92">
        <v>81</v>
      </c>
      <c r="C94" s="90" t="s">
        <v>425</v>
      </c>
      <c r="D94" s="2" t="s">
        <v>308</v>
      </c>
    </row>
    <row r="95" spans="2:4" ht="30" x14ac:dyDescent="0.25">
      <c r="B95" s="92">
        <v>82</v>
      </c>
      <c r="C95" s="90" t="s">
        <v>135</v>
      </c>
      <c r="D95" s="2" t="s">
        <v>338</v>
      </c>
    </row>
    <row r="96" spans="2:4" x14ac:dyDescent="0.25">
      <c r="B96" s="92">
        <v>83</v>
      </c>
      <c r="C96" s="90" t="s">
        <v>426</v>
      </c>
      <c r="D96" s="2" t="s">
        <v>302</v>
      </c>
    </row>
    <row r="97" spans="2:4" ht="30" x14ac:dyDescent="0.25">
      <c r="B97" s="92">
        <v>84</v>
      </c>
      <c r="C97" s="90" t="s">
        <v>136</v>
      </c>
      <c r="D97" s="2" t="s">
        <v>382</v>
      </c>
    </row>
    <row r="98" spans="2:4" ht="30" x14ac:dyDescent="0.25">
      <c r="B98" s="92">
        <v>85</v>
      </c>
      <c r="C98" s="90" t="s">
        <v>427</v>
      </c>
      <c r="D98" s="2" t="s">
        <v>382</v>
      </c>
    </row>
    <row r="99" spans="2:4" x14ac:dyDescent="0.25">
      <c r="B99" s="92">
        <v>86</v>
      </c>
      <c r="C99" s="90" t="s">
        <v>137</v>
      </c>
      <c r="D99" s="2" t="s">
        <v>381</v>
      </c>
    </row>
    <row r="100" spans="2:4" ht="30" x14ac:dyDescent="0.25">
      <c r="B100" s="92">
        <v>87</v>
      </c>
      <c r="C100" s="90" t="s">
        <v>138</v>
      </c>
      <c r="D100" s="2" t="s">
        <v>388</v>
      </c>
    </row>
    <row r="101" spans="2:4" ht="30" x14ac:dyDescent="0.25">
      <c r="B101" s="92">
        <v>88</v>
      </c>
      <c r="C101" s="90" t="s">
        <v>139</v>
      </c>
      <c r="D101" s="2" t="s">
        <v>388</v>
      </c>
    </row>
    <row r="102" spans="2:4" ht="30" x14ac:dyDescent="0.25">
      <c r="B102" s="92">
        <v>89</v>
      </c>
      <c r="C102" s="90" t="s">
        <v>140</v>
      </c>
      <c r="D102" s="2" t="s">
        <v>388</v>
      </c>
    </row>
    <row r="103" spans="2:4" ht="30" x14ac:dyDescent="0.25">
      <c r="B103" s="92">
        <v>90</v>
      </c>
      <c r="C103" s="90" t="s">
        <v>290</v>
      </c>
      <c r="D103" s="2" t="s">
        <v>383</v>
      </c>
    </row>
    <row r="104" spans="2:4" ht="30" x14ac:dyDescent="0.25">
      <c r="B104" s="92">
        <v>91</v>
      </c>
      <c r="C104" s="90" t="s">
        <v>428</v>
      </c>
      <c r="D104" s="2" t="s">
        <v>387</v>
      </c>
    </row>
    <row r="105" spans="2:4" ht="30" x14ac:dyDescent="0.25">
      <c r="B105" s="92">
        <v>92</v>
      </c>
      <c r="C105" s="90" t="s">
        <v>429</v>
      </c>
      <c r="D105" s="2" t="s">
        <v>386</v>
      </c>
    </row>
    <row r="106" spans="2:4" ht="30" x14ac:dyDescent="0.25">
      <c r="B106" s="92">
        <v>93</v>
      </c>
      <c r="C106" s="90" t="s">
        <v>141</v>
      </c>
      <c r="D106" s="2" t="s">
        <v>385</v>
      </c>
    </row>
    <row r="107" spans="2:4" ht="30" x14ac:dyDescent="0.25">
      <c r="B107" s="92">
        <v>94</v>
      </c>
      <c r="C107" s="90" t="s">
        <v>142</v>
      </c>
      <c r="D107" s="2" t="s">
        <v>385</v>
      </c>
    </row>
    <row r="108" spans="2:4" ht="30" x14ac:dyDescent="0.25">
      <c r="B108" s="92">
        <v>95</v>
      </c>
      <c r="C108" s="90" t="s">
        <v>143</v>
      </c>
      <c r="D108" s="2" t="s">
        <v>389</v>
      </c>
    </row>
    <row r="109" spans="2:4" ht="30" x14ac:dyDescent="0.25">
      <c r="B109" s="92">
        <v>96</v>
      </c>
      <c r="C109" s="90" t="s">
        <v>144</v>
      </c>
      <c r="D109" s="2" t="s">
        <v>313</v>
      </c>
    </row>
    <row r="110" spans="2:4" ht="30" x14ac:dyDescent="0.25">
      <c r="B110" s="92">
        <v>97</v>
      </c>
      <c r="C110" s="90" t="s">
        <v>145</v>
      </c>
      <c r="D110" s="2" t="s">
        <v>314</v>
      </c>
    </row>
    <row r="111" spans="2:4" ht="30" x14ac:dyDescent="0.25">
      <c r="B111" s="92">
        <v>98</v>
      </c>
      <c r="C111" s="90" t="s">
        <v>146</v>
      </c>
      <c r="D111" s="2" t="s">
        <v>315</v>
      </c>
    </row>
    <row r="112" spans="2:4" ht="30" x14ac:dyDescent="0.25">
      <c r="B112" s="92">
        <v>99</v>
      </c>
      <c r="C112" s="90" t="s">
        <v>147</v>
      </c>
      <c r="D112" s="2" t="s">
        <v>316</v>
      </c>
    </row>
    <row r="113" spans="2:4" ht="30" x14ac:dyDescent="0.25">
      <c r="B113" s="92">
        <v>100</v>
      </c>
      <c r="C113" s="90" t="s">
        <v>430</v>
      </c>
      <c r="D113" s="2" t="s">
        <v>316</v>
      </c>
    </row>
    <row r="114" spans="2:4" ht="30" x14ac:dyDescent="0.25">
      <c r="B114" s="92">
        <v>101</v>
      </c>
      <c r="C114" s="90" t="s">
        <v>148</v>
      </c>
      <c r="D114" s="2" t="s">
        <v>318</v>
      </c>
    </row>
    <row r="115" spans="2:4" x14ac:dyDescent="0.25">
      <c r="B115" s="92">
        <v>102</v>
      </c>
      <c r="C115" s="90" t="s">
        <v>149</v>
      </c>
      <c r="D115" s="2" t="s">
        <v>340</v>
      </c>
    </row>
    <row r="116" spans="2:4" x14ac:dyDescent="0.25">
      <c r="B116" s="92">
        <v>103</v>
      </c>
      <c r="C116" s="90" t="s">
        <v>150</v>
      </c>
      <c r="D116" s="2" t="s">
        <v>340</v>
      </c>
    </row>
    <row r="117" spans="2:4" ht="30" x14ac:dyDescent="0.25">
      <c r="B117" s="92">
        <v>104</v>
      </c>
      <c r="C117" s="90" t="s">
        <v>151</v>
      </c>
      <c r="D117" s="2" t="s">
        <v>319</v>
      </c>
    </row>
    <row r="118" spans="2:4" x14ac:dyDescent="0.25">
      <c r="B118" s="92">
        <v>105</v>
      </c>
      <c r="C118" s="90" t="s">
        <v>152</v>
      </c>
      <c r="D118" s="2" t="s">
        <v>320</v>
      </c>
    </row>
    <row r="119" spans="2:4" x14ac:dyDescent="0.25">
      <c r="B119" s="92">
        <v>106</v>
      </c>
      <c r="C119" s="90" t="s">
        <v>153</v>
      </c>
      <c r="D119" s="2" t="s">
        <v>321</v>
      </c>
    </row>
    <row r="120" spans="2:4" ht="30" x14ac:dyDescent="0.25">
      <c r="B120" s="92">
        <v>107</v>
      </c>
      <c r="C120" s="90" t="s">
        <v>154</v>
      </c>
      <c r="D120" s="2" t="s">
        <v>322</v>
      </c>
    </row>
    <row r="121" spans="2:4" ht="30" x14ac:dyDescent="0.25">
      <c r="B121" s="92">
        <v>108</v>
      </c>
      <c r="C121" s="90" t="s">
        <v>155</v>
      </c>
      <c r="D121" s="2" t="s">
        <v>323</v>
      </c>
    </row>
    <row r="122" spans="2:4" x14ac:dyDescent="0.25">
      <c r="B122" s="92">
        <v>109</v>
      </c>
      <c r="C122" s="90" t="s">
        <v>156</v>
      </c>
      <c r="D122" s="2" t="s">
        <v>323</v>
      </c>
    </row>
    <row r="123" spans="2:4" ht="30" x14ac:dyDescent="0.25">
      <c r="B123" s="92">
        <v>110</v>
      </c>
      <c r="C123" s="90" t="s">
        <v>157</v>
      </c>
      <c r="D123" s="2" t="s">
        <v>323</v>
      </c>
    </row>
    <row r="124" spans="2:4" x14ac:dyDescent="0.25">
      <c r="B124" s="92">
        <v>111</v>
      </c>
      <c r="C124" s="90" t="s">
        <v>158</v>
      </c>
      <c r="D124" s="2" t="s">
        <v>370</v>
      </c>
    </row>
    <row r="125" spans="2:4" ht="30" x14ac:dyDescent="0.25">
      <c r="B125" s="92">
        <v>112</v>
      </c>
      <c r="C125" s="90" t="s">
        <v>159</v>
      </c>
      <c r="D125" s="2" t="s">
        <v>325</v>
      </c>
    </row>
    <row r="126" spans="2:4" ht="30" x14ac:dyDescent="0.25">
      <c r="B126" s="92">
        <v>113</v>
      </c>
      <c r="C126" s="90" t="s">
        <v>160</v>
      </c>
      <c r="D126" s="2" t="s">
        <v>326</v>
      </c>
    </row>
    <row r="127" spans="2:4" ht="30" x14ac:dyDescent="0.25">
      <c r="B127" s="92">
        <v>114</v>
      </c>
      <c r="C127" s="90" t="s">
        <v>161</v>
      </c>
      <c r="D127" s="2" t="s">
        <v>327</v>
      </c>
    </row>
    <row r="128" spans="2:4" ht="30" x14ac:dyDescent="0.25">
      <c r="B128" s="92">
        <v>115</v>
      </c>
      <c r="C128" s="90" t="s">
        <v>162</v>
      </c>
      <c r="D128" s="2" t="s">
        <v>328</v>
      </c>
    </row>
    <row r="129" spans="2:4" ht="30" x14ac:dyDescent="0.25">
      <c r="B129" s="92">
        <v>116</v>
      </c>
      <c r="C129" s="90" t="s">
        <v>163</v>
      </c>
      <c r="D129" s="2" t="s">
        <v>325</v>
      </c>
    </row>
    <row r="130" spans="2:4" ht="30" x14ac:dyDescent="0.25">
      <c r="B130" s="92">
        <v>117</v>
      </c>
      <c r="C130" s="90" t="s">
        <v>164</v>
      </c>
      <c r="D130" s="2" t="s">
        <v>329</v>
      </c>
    </row>
    <row r="131" spans="2:4" ht="30" x14ac:dyDescent="0.25">
      <c r="B131" s="92">
        <v>118</v>
      </c>
      <c r="C131" s="90" t="s">
        <v>165</v>
      </c>
      <c r="D131" s="2" t="s">
        <v>330</v>
      </c>
    </row>
    <row r="132" spans="2:4" ht="30" x14ac:dyDescent="0.25">
      <c r="B132" s="92">
        <v>119</v>
      </c>
      <c r="C132" s="90" t="s">
        <v>166</v>
      </c>
      <c r="D132" s="2" t="s">
        <v>330</v>
      </c>
    </row>
    <row r="133" spans="2:4" ht="15.75" thickBot="1" x14ac:dyDescent="0.3">
      <c r="B133" s="56"/>
      <c r="C133" s="56"/>
      <c r="D133" s="56"/>
    </row>
    <row r="134" spans="2:4" ht="15.75" thickTop="1" x14ac:dyDescent="0.25"/>
  </sheetData>
  <sheetProtection selectLockedCells="1" selectUnlockedCells="1"/>
  <pageMargins left="0.70866141732283472" right="0.70866141732283472" top="0.74803149606299213" bottom="0.74803149606299213" header="0.31496062992125984" footer="0.31496062992125984"/>
  <pageSetup paperSize="9" scale="55" fitToHeight="0" orientation="portrait" horizontalDpi="1200" verticalDpi="1200" r:id="rId1"/>
  <headerFooter>
    <oddFooter>&amp;L&amp;D&amp;CPage &amp;P of &amp;N&amp;R[Insert classification]</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5DFA5-324E-4D0E-967A-0820BDFD99B4}">
  <sheetPr codeName="Sheet8"/>
  <dimension ref="B2:D27"/>
  <sheetViews>
    <sheetView showGridLines="0" workbookViewId="0"/>
  </sheetViews>
  <sheetFormatPr defaultColWidth="9.140625" defaultRowHeight="15" x14ac:dyDescent="0.25"/>
  <cols>
    <col min="1" max="1" width="2.85546875" style="3" customWidth="1"/>
    <col min="2" max="2" width="11.7109375" style="3" customWidth="1"/>
    <col min="3" max="3" width="16.28515625" style="3" customWidth="1"/>
    <col min="4" max="4" width="58.28515625" style="3" customWidth="1"/>
    <col min="5" max="16384" width="9.140625" style="3"/>
  </cols>
  <sheetData>
    <row r="2" spans="2:4" x14ac:dyDescent="0.25">
      <c r="B2" s="4"/>
      <c r="C2" s="4"/>
    </row>
    <row r="3" spans="2:4" x14ac:dyDescent="0.25">
      <c r="B3" s="4"/>
      <c r="C3" s="4"/>
    </row>
    <row r="4" spans="2:4" x14ac:dyDescent="0.25">
      <c r="B4" s="4"/>
      <c r="C4" s="4"/>
    </row>
    <row r="5" spans="2:4" x14ac:dyDescent="0.25">
      <c r="B5" s="4"/>
      <c r="C5" s="4"/>
    </row>
    <row r="6" spans="2:4" x14ac:dyDescent="0.25">
      <c r="B6" s="4"/>
      <c r="C6" s="4"/>
    </row>
    <row r="7" spans="2:4" x14ac:dyDescent="0.25">
      <c r="B7" s="4"/>
      <c r="C7" s="4"/>
    </row>
    <row r="8" spans="2:4" ht="21" x14ac:dyDescent="0.25">
      <c r="B8" s="12" t="s">
        <v>12</v>
      </c>
      <c r="C8" s="12"/>
      <c r="D8" s="13"/>
    </row>
    <row r="9" spans="2:4" x14ac:dyDescent="0.25">
      <c r="B9" s="13" t="s">
        <v>37</v>
      </c>
      <c r="C9" s="13"/>
      <c r="D9" s="13"/>
    </row>
    <row r="10" spans="2:4" x14ac:dyDescent="0.25">
      <c r="B10" s="13"/>
      <c r="C10" s="13"/>
      <c r="D10" s="13"/>
    </row>
    <row r="11" spans="2:4" ht="21" customHeight="1" x14ac:dyDescent="0.25">
      <c r="B11" s="43" t="s">
        <v>23</v>
      </c>
      <c r="C11" s="43" t="s">
        <v>24</v>
      </c>
      <c r="D11" s="51" t="s">
        <v>25</v>
      </c>
    </row>
    <row r="12" spans="2:4" ht="30" x14ac:dyDescent="0.25">
      <c r="B12" s="14">
        <v>1</v>
      </c>
      <c r="C12" s="9" t="s">
        <v>26</v>
      </c>
      <c r="D12" s="9" t="s">
        <v>31</v>
      </c>
    </row>
    <row r="13" spans="2:4" x14ac:dyDescent="0.25">
      <c r="B13" s="14">
        <v>2</v>
      </c>
      <c r="C13" s="9" t="s">
        <v>27</v>
      </c>
      <c r="D13" s="9" t="s">
        <v>32</v>
      </c>
    </row>
    <row r="14" spans="2:4" ht="30" x14ac:dyDescent="0.25">
      <c r="B14" s="14">
        <v>3</v>
      </c>
      <c r="C14" s="9" t="s">
        <v>28</v>
      </c>
      <c r="D14" s="9" t="s">
        <v>35</v>
      </c>
    </row>
    <row r="15" spans="2:4" ht="30" x14ac:dyDescent="0.25">
      <c r="B15" s="14">
        <v>4</v>
      </c>
      <c r="C15" s="9" t="s">
        <v>29</v>
      </c>
      <c r="D15" s="9" t="s">
        <v>33</v>
      </c>
    </row>
    <row r="16" spans="2:4" ht="30" x14ac:dyDescent="0.25">
      <c r="B16" s="14">
        <v>5</v>
      </c>
      <c r="C16" s="9" t="s">
        <v>30</v>
      </c>
      <c r="D16" s="9" t="s">
        <v>34</v>
      </c>
    </row>
    <row r="17" spans="2:4" ht="15.75" thickBot="1" x14ac:dyDescent="0.3">
      <c r="B17" s="52"/>
      <c r="C17" s="52"/>
      <c r="D17" s="52"/>
    </row>
    <row r="18" spans="2:4" ht="15.75" thickTop="1" x14ac:dyDescent="0.25"/>
    <row r="24" spans="2:4" x14ac:dyDescent="0.25">
      <c r="B24" s="8"/>
      <c r="C24" s="8"/>
      <c r="D24" s="2"/>
    </row>
    <row r="25" spans="2:4" x14ac:dyDescent="0.25">
      <c r="B25" s="8"/>
      <c r="C25" s="8"/>
      <c r="D25" s="2"/>
    </row>
    <row r="26" spans="2:4" x14ac:dyDescent="0.25">
      <c r="B26" s="8"/>
      <c r="C26" s="8"/>
      <c r="D26" s="2"/>
    </row>
    <row r="27" spans="2:4" x14ac:dyDescent="0.25">
      <c r="B27" s="8"/>
      <c r="C27" s="8"/>
      <c r="D27" s="2"/>
    </row>
  </sheetData>
  <sheetProtection selectLockedCells="1" selectUnlockedCells="1"/>
  <pageMargins left="0.70866141732283472" right="0.70866141732283472" top="0.74803149606299213" bottom="0.74803149606299213" header="0.31496062992125984" footer="0.31496062992125984"/>
  <pageSetup paperSize="9" orientation="landscape" horizontalDpi="1200" verticalDpi="1200" r:id="rId1"/>
  <headerFooter>
    <oddFooter>&amp;L&amp;D&amp;CPage &amp;P of &amp;N&amp;R[Insert classification]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F27AD-48E4-435A-927D-723E9F61ED04}">
  <sheetPr codeName="Sheet9">
    <pageSetUpPr fitToPage="1"/>
  </sheetPr>
  <dimension ref="B2:O28"/>
  <sheetViews>
    <sheetView showGridLines="0" workbookViewId="0"/>
  </sheetViews>
  <sheetFormatPr defaultColWidth="9.140625" defaultRowHeight="15" x14ac:dyDescent="0.25"/>
  <cols>
    <col min="1" max="1" width="2.85546875" style="3" customWidth="1"/>
    <col min="2" max="2" width="7.42578125" style="3" customWidth="1"/>
    <col min="3" max="3" width="11.28515625" style="3" customWidth="1"/>
    <col min="4" max="7" width="21.42578125" style="3" customWidth="1"/>
    <col min="8" max="8" width="25.42578125" style="3" customWidth="1"/>
    <col min="9" max="16384" width="9.140625" style="3"/>
  </cols>
  <sheetData>
    <row r="2" spans="2:15" x14ac:dyDescent="0.25">
      <c r="B2" s="4"/>
      <c r="C2" s="4"/>
    </row>
    <row r="3" spans="2:15" x14ac:dyDescent="0.25">
      <c r="B3" s="4"/>
      <c r="C3" s="4"/>
    </row>
    <row r="4" spans="2:15" x14ac:dyDescent="0.25">
      <c r="B4" s="4"/>
      <c r="C4" s="4"/>
    </row>
    <row r="5" spans="2:15" x14ac:dyDescent="0.25">
      <c r="B5" s="4"/>
      <c r="C5" s="4"/>
    </row>
    <row r="6" spans="2:15" x14ac:dyDescent="0.25">
      <c r="B6" s="4"/>
      <c r="C6" s="4"/>
    </row>
    <row r="7" spans="2:15" x14ac:dyDescent="0.25">
      <c r="B7" s="4"/>
      <c r="C7" s="4"/>
    </row>
    <row r="8" spans="2:15" ht="21" x14ac:dyDescent="0.25">
      <c r="B8" s="12" t="s">
        <v>13</v>
      </c>
      <c r="C8" s="12"/>
      <c r="D8" s="13"/>
      <c r="E8" s="13"/>
      <c r="F8" s="13"/>
      <c r="G8" s="13"/>
      <c r="H8" s="13"/>
    </row>
    <row r="9" spans="2:15" x14ac:dyDescent="0.25">
      <c r="B9" s="13" t="s">
        <v>36</v>
      </c>
      <c r="C9" s="13"/>
      <c r="D9" s="13"/>
      <c r="E9" s="13"/>
      <c r="F9" s="13"/>
      <c r="G9" s="13"/>
      <c r="H9" s="13"/>
    </row>
    <row r="10" spans="2:15" x14ac:dyDescent="0.25">
      <c r="B10" s="13"/>
      <c r="C10" s="13"/>
      <c r="D10" s="13"/>
      <c r="E10" s="13"/>
      <c r="F10" s="13"/>
      <c r="G10" s="13"/>
      <c r="H10" s="13"/>
    </row>
    <row r="11" spans="2:15" ht="21" customHeight="1" x14ac:dyDescent="0.25">
      <c r="B11" s="53" t="s">
        <v>66</v>
      </c>
      <c r="C11" s="54"/>
      <c r="D11" s="53" t="s">
        <v>65</v>
      </c>
      <c r="E11" s="53"/>
      <c r="F11" s="53"/>
      <c r="G11" s="53"/>
      <c r="H11" s="53"/>
    </row>
    <row r="12" spans="2:15" ht="33" customHeight="1" x14ac:dyDescent="0.25">
      <c r="B12" s="87" t="s">
        <v>63</v>
      </c>
      <c r="C12" s="87" t="s">
        <v>64</v>
      </c>
      <c r="D12" s="87" t="s">
        <v>168</v>
      </c>
      <c r="E12" s="87" t="s">
        <v>169</v>
      </c>
      <c r="F12" s="87" t="s">
        <v>170</v>
      </c>
      <c r="G12" s="87" t="s">
        <v>67</v>
      </c>
      <c r="H12" s="87" t="s">
        <v>171</v>
      </c>
    </row>
    <row r="13" spans="2:15" ht="30" x14ac:dyDescent="0.25">
      <c r="B13" s="15">
        <v>1</v>
      </c>
      <c r="C13" s="9" t="s">
        <v>38</v>
      </c>
      <c r="D13" s="9" t="s">
        <v>39</v>
      </c>
      <c r="E13" s="2" t="s">
        <v>40</v>
      </c>
      <c r="F13" s="2" t="s">
        <v>41</v>
      </c>
      <c r="G13" s="9" t="s">
        <v>38</v>
      </c>
      <c r="H13" s="2" t="s">
        <v>42</v>
      </c>
      <c r="I13" s="2"/>
      <c r="J13" s="2"/>
      <c r="K13" s="2"/>
      <c r="L13" s="2"/>
      <c r="M13" s="2"/>
      <c r="N13" s="2"/>
      <c r="O13" s="2"/>
    </row>
    <row r="14" spans="2:15" ht="45" x14ac:dyDescent="0.25">
      <c r="B14" s="15">
        <v>2</v>
      </c>
      <c r="C14" s="9" t="s">
        <v>43</v>
      </c>
      <c r="D14" s="9" t="s">
        <v>44</v>
      </c>
      <c r="E14" s="2" t="s">
        <v>45</v>
      </c>
      <c r="F14" s="2" t="s">
        <v>46</v>
      </c>
      <c r="G14" s="9" t="s">
        <v>43</v>
      </c>
      <c r="H14" s="2" t="s">
        <v>47</v>
      </c>
      <c r="I14" s="2"/>
      <c r="J14" s="2"/>
      <c r="K14" s="2"/>
      <c r="L14" s="2"/>
      <c r="M14" s="2"/>
      <c r="N14" s="2"/>
      <c r="O14" s="2"/>
    </row>
    <row r="15" spans="2:15" ht="45" x14ac:dyDescent="0.25">
      <c r="B15" s="15">
        <v>3</v>
      </c>
      <c r="C15" s="9" t="s">
        <v>48</v>
      </c>
      <c r="D15" s="9" t="s">
        <v>49</v>
      </c>
      <c r="E15" s="2" t="s">
        <v>50</v>
      </c>
      <c r="F15" s="2" t="s">
        <v>51</v>
      </c>
      <c r="G15" s="9" t="s">
        <v>48</v>
      </c>
      <c r="H15" s="2" t="s">
        <v>52</v>
      </c>
      <c r="I15" s="2"/>
      <c r="J15" s="2"/>
      <c r="K15" s="2"/>
      <c r="L15" s="2"/>
      <c r="M15" s="2"/>
      <c r="N15" s="2"/>
      <c r="O15" s="2"/>
    </row>
    <row r="16" spans="2:15" ht="30" x14ac:dyDescent="0.25">
      <c r="B16" s="15">
        <v>4</v>
      </c>
      <c r="C16" s="9" t="s">
        <v>53</v>
      </c>
      <c r="D16" s="9" t="s">
        <v>54</v>
      </c>
      <c r="E16" s="2" t="s">
        <v>55</v>
      </c>
      <c r="F16" s="2" t="s">
        <v>56</v>
      </c>
      <c r="G16" s="9" t="s">
        <v>53</v>
      </c>
      <c r="H16" s="2" t="s">
        <v>57</v>
      </c>
      <c r="I16" s="2"/>
      <c r="J16" s="2"/>
      <c r="K16" s="2"/>
      <c r="L16" s="2"/>
      <c r="M16" s="2"/>
      <c r="N16" s="2"/>
      <c r="O16" s="2"/>
    </row>
    <row r="17" spans="2:15" ht="45" x14ac:dyDescent="0.25">
      <c r="B17" s="15">
        <v>5</v>
      </c>
      <c r="C17" s="9" t="s">
        <v>58</v>
      </c>
      <c r="D17" s="9" t="s">
        <v>59</v>
      </c>
      <c r="E17" s="2" t="s">
        <v>60</v>
      </c>
      <c r="F17" s="2" t="s">
        <v>61</v>
      </c>
      <c r="G17" s="9" t="s">
        <v>58</v>
      </c>
      <c r="H17" s="2" t="s">
        <v>62</v>
      </c>
      <c r="I17" s="2"/>
      <c r="J17" s="2"/>
      <c r="K17" s="2"/>
      <c r="L17" s="2"/>
      <c r="M17" s="2"/>
      <c r="N17" s="2"/>
      <c r="O17" s="2"/>
    </row>
    <row r="18" spans="2:15" ht="15.75" thickBot="1" x14ac:dyDescent="0.3">
      <c r="B18" s="55"/>
      <c r="C18" s="55"/>
      <c r="D18" s="55"/>
      <c r="E18" s="55"/>
      <c r="F18" s="55"/>
      <c r="G18" s="55"/>
      <c r="H18" s="55"/>
    </row>
    <row r="19" spans="2:15" ht="15.75" thickTop="1" x14ac:dyDescent="0.25"/>
    <row r="25" spans="2:15" x14ac:dyDescent="0.25">
      <c r="B25" s="8"/>
      <c r="C25" s="8"/>
      <c r="D25" s="2"/>
    </row>
    <row r="26" spans="2:15" x14ac:dyDescent="0.25">
      <c r="B26" s="8"/>
      <c r="C26" s="8"/>
      <c r="D26" s="2"/>
    </row>
    <row r="27" spans="2:15" x14ac:dyDescent="0.25">
      <c r="B27" s="8"/>
      <c r="C27" s="8"/>
      <c r="D27" s="2"/>
    </row>
    <row r="28" spans="2:15" x14ac:dyDescent="0.25">
      <c r="B28" s="8"/>
      <c r="C28" s="8"/>
      <c r="D28" s="2"/>
    </row>
  </sheetData>
  <sheetProtection selectLockedCells="1" selectUnlockedCells="1"/>
  <pageMargins left="0.70866141732283472" right="0.70866141732283472" top="0.74803149606299213" bottom="0.74803149606299213" header="0.31496062992125984" footer="0.31496062992125984"/>
  <pageSetup paperSize="9" scale="99" orientation="landscape" horizontalDpi="1200" verticalDpi="1200" r:id="rId1"/>
  <headerFooter>
    <oddFooter>&amp;L&amp;D&amp;CPage &amp;P of &amp;N&amp;R[Insert classification]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2BCC5-11C1-4335-841F-1BAC61F5BB29}">
  <sheetPr codeName="Sheet13"/>
  <dimension ref="B4:I26"/>
  <sheetViews>
    <sheetView showGridLines="0" zoomScaleNormal="100" workbookViewId="0"/>
  </sheetViews>
  <sheetFormatPr defaultRowHeight="15" x14ac:dyDescent="0.25"/>
  <cols>
    <col min="1" max="1" width="2.85546875" customWidth="1"/>
    <col min="2" max="2" width="15" customWidth="1"/>
    <col min="3" max="3" width="9.140625" customWidth="1"/>
    <col min="4" max="4" width="21.28515625" customWidth="1"/>
    <col min="6" max="6" width="16.42578125" customWidth="1"/>
    <col min="7" max="7" width="16.28515625" customWidth="1"/>
    <col min="8" max="8" width="18.42578125" customWidth="1"/>
    <col min="9" max="9" width="11.85546875" customWidth="1"/>
    <col min="10" max="10" width="17.28515625" customWidth="1"/>
  </cols>
  <sheetData>
    <row r="4" spans="2:9" ht="21" x14ac:dyDescent="0.35">
      <c r="B4" s="32" t="s">
        <v>212</v>
      </c>
    </row>
    <row r="6" spans="2:9" ht="15.75" x14ac:dyDescent="0.25">
      <c r="B6" s="94" t="s">
        <v>17</v>
      </c>
      <c r="D6" s="57" t="s">
        <v>22</v>
      </c>
      <c r="I6" s="10"/>
    </row>
    <row r="7" spans="2:9" x14ac:dyDescent="0.25">
      <c r="B7" s="7" t="s">
        <v>0</v>
      </c>
      <c r="C7" s="1"/>
      <c r="D7" t="s">
        <v>0</v>
      </c>
    </row>
    <row r="8" spans="2:9" x14ac:dyDescent="0.25">
      <c r="B8" s="7">
        <v>1</v>
      </c>
      <c r="C8" s="1"/>
      <c r="D8" t="s">
        <v>18</v>
      </c>
    </row>
    <row r="9" spans="2:9" x14ac:dyDescent="0.25">
      <c r="B9" s="7">
        <v>2</v>
      </c>
      <c r="C9" s="1"/>
      <c r="D9" t="s">
        <v>19</v>
      </c>
    </row>
    <row r="10" spans="2:9" x14ac:dyDescent="0.25">
      <c r="B10" s="7">
        <v>3</v>
      </c>
      <c r="C10" s="1"/>
      <c r="D10" t="s">
        <v>20</v>
      </c>
    </row>
    <row r="11" spans="2:9" x14ac:dyDescent="0.25">
      <c r="B11" s="7">
        <v>4</v>
      </c>
      <c r="C11" s="1"/>
      <c r="D11" t="s">
        <v>21</v>
      </c>
    </row>
    <row r="12" spans="2:9" x14ac:dyDescent="0.25">
      <c r="B12" s="7">
        <v>5</v>
      </c>
      <c r="C12" s="1"/>
    </row>
    <row r="13" spans="2:9" x14ac:dyDescent="0.25">
      <c r="B13" s="1"/>
      <c r="C13" s="1"/>
    </row>
    <row r="14" spans="2:9" x14ac:dyDescent="0.25">
      <c r="B14" s="1"/>
      <c r="C14" s="1"/>
    </row>
    <row r="15" spans="2:9" x14ac:dyDescent="0.25">
      <c r="B15" s="57" t="s">
        <v>86</v>
      </c>
      <c r="C15" s="1"/>
      <c r="D15" s="57" t="s">
        <v>229</v>
      </c>
    </row>
    <row r="16" spans="2:9" x14ac:dyDescent="0.25">
      <c r="B16" s="1" t="s">
        <v>0</v>
      </c>
      <c r="C16" s="1"/>
      <c r="D16" t="s">
        <v>0</v>
      </c>
    </row>
    <row r="17" spans="2:4" x14ac:dyDescent="0.25">
      <c r="B17" s="1" t="s">
        <v>194</v>
      </c>
      <c r="C17" s="1"/>
      <c r="D17" t="s">
        <v>226</v>
      </c>
    </row>
    <row r="18" spans="2:4" x14ac:dyDescent="0.25">
      <c r="B18" s="1" t="s">
        <v>196</v>
      </c>
      <c r="C18" s="1"/>
      <c r="D18" t="s">
        <v>227</v>
      </c>
    </row>
    <row r="19" spans="2:4" x14ac:dyDescent="0.25">
      <c r="B19" s="1" t="s">
        <v>195</v>
      </c>
      <c r="C19" s="1"/>
      <c r="D19" t="s">
        <v>225</v>
      </c>
    </row>
    <row r="20" spans="2:4" x14ac:dyDescent="0.25">
      <c r="B20" s="1" t="s">
        <v>197</v>
      </c>
      <c r="C20" s="1"/>
      <c r="D20" t="s">
        <v>228</v>
      </c>
    </row>
    <row r="21" spans="2:4" x14ac:dyDescent="0.25">
      <c r="B21" s="1" t="s">
        <v>198</v>
      </c>
      <c r="C21" s="1"/>
    </row>
    <row r="22" spans="2:4" x14ac:dyDescent="0.25">
      <c r="B22" s="1" t="s">
        <v>199</v>
      </c>
    </row>
    <row r="23" spans="2:4" x14ac:dyDescent="0.25">
      <c r="B23" s="1" t="s">
        <v>200</v>
      </c>
    </row>
    <row r="24" spans="2:4" x14ac:dyDescent="0.25">
      <c r="B24" s="1"/>
    </row>
    <row r="25" spans="2:4" x14ac:dyDescent="0.25">
      <c r="B25" s="1"/>
    </row>
    <row r="26" spans="2:4" x14ac:dyDescent="0.25">
      <c r="B26" s="1"/>
    </row>
  </sheetData>
  <pageMargins left="0.7" right="0.7" top="0.75" bottom="0.75" header="0.3" footer="0.3"/>
  <pageSetup paperSize="9" orientation="portrait" horizontalDpi="0" verticalDpi="0" r:id="rId1"/>
  <tableParts count="4">
    <tablePart r:id="rId2"/>
    <tablePart r:id="rId3"/>
    <tablePart r:id="rId4"/>
    <tablePart r:id="rId5"/>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8D770-B576-4A26-A0D0-FA27788A94F9}">
  <sheetPr codeName="Sheet17"/>
  <dimension ref="B4:V18"/>
  <sheetViews>
    <sheetView showGridLines="0" workbookViewId="0"/>
  </sheetViews>
  <sheetFormatPr defaultRowHeight="15" x14ac:dyDescent="0.25"/>
  <cols>
    <col min="1" max="1" width="2.85546875" customWidth="1"/>
    <col min="2" max="2" width="18" bestFit="1" customWidth="1"/>
    <col min="3" max="3" width="16.28515625" bestFit="1" customWidth="1"/>
    <col min="4" max="4" width="11.28515625" bestFit="1" customWidth="1"/>
    <col min="5" max="5" width="9.42578125" bestFit="1" customWidth="1"/>
    <col min="6" max="7" width="11.28515625" bestFit="1" customWidth="1"/>
    <col min="8" max="8" width="11" bestFit="1" customWidth="1"/>
    <col min="9" max="9" width="9.28515625" bestFit="1" customWidth="1"/>
    <col min="10" max="10" width="5.7109375" bestFit="1" customWidth="1"/>
    <col min="11" max="11" width="9.42578125" bestFit="1" customWidth="1"/>
    <col min="12" max="12" width="12.28515625" bestFit="1" customWidth="1"/>
    <col min="13" max="13" width="10.28515625" bestFit="1" customWidth="1"/>
    <col min="14" max="14" width="12.85546875" bestFit="1" customWidth="1"/>
    <col min="15" max="15" width="7.85546875" bestFit="1" customWidth="1"/>
    <col min="16" max="16" width="10.85546875" bestFit="1" customWidth="1"/>
    <col min="17" max="20" width="11.28515625" bestFit="1" customWidth="1"/>
    <col min="21" max="21" width="15.28515625" bestFit="1" customWidth="1"/>
    <col min="22" max="22" width="12.85546875" bestFit="1" customWidth="1"/>
    <col min="23" max="23" width="7.85546875" bestFit="1" customWidth="1"/>
    <col min="24" max="24" width="10.5703125" bestFit="1" customWidth="1"/>
    <col min="25" max="25" width="10.85546875" bestFit="1" customWidth="1"/>
    <col min="26" max="27" width="12.140625" bestFit="1" customWidth="1"/>
    <col min="28" max="28" width="11.28515625" bestFit="1" customWidth="1"/>
  </cols>
  <sheetData>
    <row r="4" spans="2:22" ht="21" x14ac:dyDescent="0.35">
      <c r="B4" s="32" t="s">
        <v>210</v>
      </c>
    </row>
    <row r="6" spans="2:22" ht="15.75" x14ac:dyDescent="0.25">
      <c r="B6" s="30" t="s">
        <v>208</v>
      </c>
      <c r="G6" s="31" t="s">
        <v>209</v>
      </c>
      <c r="H6" s="29"/>
      <c r="I6" s="29"/>
      <c r="M6" s="31" t="s">
        <v>211</v>
      </c>
      <c r="Q6" s="30" t="s">
        <v>202</v>
      </c>
      <c r="R6" s="11"/>
      <c r="S6" s="11"/>
      <c r="U6" s="30" t="s">
        <v>214</v>
      </c>
    </row>
    <row r="8" spans="2:22" ht="30" x14ac:dyDescent="0.25">
      <c r="B8" s="57" t="s">
        <v>207</v>
      </c>
      <c r="C8" s="57" t="s">
        <v>203</v>
      </c>
      <c r="D8" s="57"/>
      <c r="G8" s="57" t="s">
        <v>207</v>
      </c>
      <c r="H8" s="57" t="s">
        <v>203</v>
      </c>
      <c r="I8" s="57"/>
      <c r="M8" s="57" t="s">
        <v>205</v>
      </c>
      <c r="N8" s="96" t="s">
        <v>206</v>
      </c>
      <c r="Q8" s="60" t="s">
        <v>14</v>
      </c>
      <c r="R8" s="60" t="s">
        <v>192</v>
      </c>
      <c r="S8" s="60" t="s">
        <v>201</v>
      </c>
      <c r="U8" s="57" t="s">
        <v>205</v>
      </c>
      <c r="V8" s="57" t="s">
        <v>215</v>
      </c>
    </row>
    <row r="9" spans="2:22" x14ac:dyDescent="0.25">
      <c r="B9" s="57" t="s">
        <v>205</v>
      </c>
      <c r="C9" s="57" t="s">
        <v>274</v>
      </c>
      <c r="D9" s="57" t="s">
        <v>204</v>
      </c>
      <c r="G9" s="57" t="s">
        <v>205</v>
      </c>
      <c r="H9" s="57" t="s">
        <v>274</v>
      </c>
      <c r="I9" s="57" t="s">
        <v>204</v>
      </c>
      <c r="M9" s="7" t="s">
        <v>0</v>
      </c>
      <c r="Q9" t="s">
        <v>69</v>
      </c>
      <c r="R9">
        <f>COUNTIF(RiskAssessment[Risk Level],Table1[[#This Row],[Risk level]])</f>
        <v>0</v>
      </c>
      <c r="S9">
        <f>COUNTIF(RiskAssessment[Post-Treatment Risk Level],Table1[[#This Row],[Risk level]])</f>
        <v>0</v>
      </c>
      <c r="U9" s="7" t="s">
        <v>274</v>
      </c>
      <c r="V9">
        <v>0</v>
      </c>
    </row>
    <row r="10" spans="2:22" x14ac:dyDescent="0.25">
      <c r="B10" s="7" t="s">
        <v>0</v>
      </c>
      <c r="C10" s="82">
        <v>20</v>
      </c>
      <c r="D10" s="82">
        <v>20</v>
      </c>
      <c r="G10" s="7" t="s">
        <v>278</v>
      </c>
      <c r="H10">
        <v>20</v>
      </c>
      <c r="I10">
        <v>20</v>
      </c>
      <c r="M10" s="94" t="s">
        <v>204</v>
      </c>
      <c r="N10" s="57"/>
      <c r="Q10" t="s">
        <v>70</v>
      </c>
      <c r="R10">
        <f>COUNTIF(RiskAssessment[Risk Level],Table1[[#This Row],[Risk level]])</f>
        <v>0</v>
      </c>
      <c r="S10">
        <f>COUNTIF(RiskAssessment[Post-Treatment Risk Level],Table1[[#This Row],[Risk level]])</f>
        <v>0</v>
      </c>
      <c r="U10" s="94" t="s">
        <v>204</v>
      </c>
      <c r="V10" s="57">
        <v>0</v>
      </c>
    </row>
    <row r="11" spans="2:22" x14ac:dyDescent="0.25">
      <c r="B11" s="94" t="s">
        <v>204</v>
      </c>
      <c r="C11" s="95">
        <v>20</v>
      </c>
      <c r="D11" s="95">
        <v>20</v>
      </c>
      <c r="G11" s="94" t="s">
        <v>204</v>
      </c>
      <c r="H11" s="57">
        <v>20</v>
      </c>
      <c r="I11" s="57">
        <v>20</v>
      </c>
      <c r="Q11" t="s">
        <v>71</v>
      </c>
      <c r="R11">
        <f>COUNTIF(RiskAssessment[Risk Level],Table1[[#This Row],[Risk level]])</f>
        <v>0</v>
      </c>
      <c r="S11">
        <f>COUNTIF(RiskAssessment[Post-Treatment Risk Level],Table1[[#This Row],[Risk level]])</f>
        <v>0</v>
      </c>
    </row>
    <row r="18" spans="5:7" x14ac:dyDescent="0.25">
      <c r="E18" s="29"/>
      <c r="F18" s="29"/>
      <c r="G18" s="29"/>
    </row>
  </sheetData>
  <sheetProtection selectLockedCells="1" selectUnlockedCells="1"/>
  <pageMargins left="0.7" right="0.7" top="0.75" bottom="0.75" header="0.3" footer="0.3"/>
  <pageSetup paperSize="9" orientation="portrait" horizontalDpi="0" verticalDpi="0" r:id="rId5"/>
  <tableParts count="1">
    <tablePart r:id="rId6"/>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DA843292D49187418BD21D9C97EA6F65" ma:contentTypeVersion="14" ma:contentTypeDescription="Create a new document." ma:contentTypeScope="" ma:versionID="d3977c999a0d19f80435e8a37523a1f4">
  <xsd:schema xmlns:xsd="http://www.w3.org/2001/XMLSchema" xmlns:xs="http://www.w3.org/2001/XMLSchema" xmlns:p="http://schemas.microsoft.com/office/2006/metadata/properties" xmlns:ns2="f1cf04bc-9f60-4a9d-874f-9541ee77ebfe" xmlns:ns3="89244998-67c5-4bad-a13d-4acc63ad7b2f" targetNamespace="http://schemas.microsoft.com/office/2006/metadata/properties" ma:root="true" ma:fieldsID="00153632ccd8eb7e3a00edf932385a7e" ns2:_="" ns3:_="">
    <xsd:import namespace="f1cf04bc-9f60-4a9d-874f-9541ee77ebfe"/>
    <xsd:import namespace="89244998-67c5-4bad-a13d-4acc63ad7b2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cf04bc-9f60-4a9d-874f-9541ee77ebf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79a0526b-d517-4052-b134-bebbd45ec951"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89244998-67c5-4bad-a13d-4acc63ad7b2f"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0bf2327-b9ba-4b5a-96ef-6cc459911f2d}" ma:internalName="TaxCatchAll" ma:showField="CatchAllData" ma:web="89244998-67c5-4bad-a13d-4acc63ad7b2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SharedWithUsers xmlns="89244998-67c5-4bad-a13d-4acc63ad7b2f">
      <UserInfo>
        <DisplayName/>
        <AccountId xsi:nil="true"/>
        <AccountType/>
      </UserInfo>
    </SharedWithUsers>
    <lcf76f155ced4ddcb4097134ff3c332f xmlns="f1cf04bc-9f60-4a9d-874f-9541ee77ebfe">
      <Terms xmlns="http://schemas.microsoft.com/office/infopath/2007/PartnerControls"/>
    </lcf76f155ced4ddcb4097134ff3c332f>
    <TaxCatchAll xmlns="89244998-67c5-4bad-a13d-4acc63ad7b2f" xsi:nil="true"/>
  </documentManagement>
</p:properties>
</file>

<file path=customXml/itemProps1.xml><?xml version="1.0" encoding="utf-8"?>
<ds:datastoreItem xmlns:ds="http://schemas.openxmlformats.org/officeDocument/2006/customXml" ds:itemID="{1ECB737B-7BDF-49F9-BFC9-A1EE92825942}">
  <ds:schemaRefs>
    <ds:schemaRef ds:uri="http://schemas.microsoft.com/DataMashup"/>
  </ds:schemaRefs>
</ds:datastoreItem>
</file>

<file path=customXml/itemProps2.xml><?xml version="1.0" encoding="utf-8"?>
<ds:datastoreItem xmlns:ds="http://schemas.openxmlformats.org/officeDocument/2006/customXml" ds:itemID="{A8108F5C-C883-4A4C-921E-D39AF1E7BF4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cf04bc-9f60-4a9d-874f-9541ee77ebfe"/>
    <ds:schemaRef ds:uri="89244998-67c5-4bad-a13d-4acc63ad7b2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E29E310-ECC5-4B3B-9676-09C492D3B983}">
  <ds:schemaRefs>
    <ds:schemaRef ds:uri="http://schemas.microsoft.com/sharepoint/v3/contenttype/forms"/>
  </ds:schemaRefs>
</ds:datastoreItem>
</file>

<file path=customXml/itemProps4.xml><?xml version="1.0" encoding="utf-8"?>
<ds:datastoreItem xmlns:ds="http://schemas.openxmlformats.org/officeDocument/2006/customXml" ds:itemID="{C08B4250-B95D-49BB-B3C5-3FC868E45619}">
  <ds:schemaRefs>
    <ds:schemaRef ds:uri="http://schemas.microsoft.com/office/2006/documentManagement/types"/>
    <ds:schemaRef ds:uri="http://purl.org/dc/elements/1.1/"/>
    <ds:schemaRef ds:uri="http://schemas.microsoft.com/office/2006/metadata/properties"/>
    <ds:schemaRef ds:uri="http://schemas.openxmlformats.org/package/2006/metadata/core-properties"/>
    <ds:schemaRef ds:uri="http://schemas.microsoft.com/office/infopath/2007/PartnerControls"/>
    <ds:schemaRef ds:uri="http://purl.org/dc/terms/"/>
    <ds:schemaRef ds:uri="f1cf04bc-9f60-4a9d-874f-9541ee77ebfe"/>
    <ds:schemaRef ds:uri="http://www.w3.org/XML/1998/namespace"/>
    <ds:schemaRef ds:uri="http://purl.org/dc/dcmitype/"/>
    <ds:schemaRef ds:uri="89244998-67c5-4bad-a13d-4acc63ad7b2f"/>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8</vt:i4>
      </vt:variant>
    </vt:vector>
  </HeadingPairs>
  <TitlesOfParts>
    <vt:vector size="25" baseType="lpstr">
      <vt:lpstr>Guidance</vt:lpstr>
      <vt:lpstr>Assessment Details</vt:lpstr>
      <vt:lpstr>Risk Assessment</vt:lpstr>
      <vt:lpstr>Dashboard</vt:lpstr>
      <vt:lpstr>Pre-treatment risks</vt:lpstr>
      <vt:lpstr>Pre-treat risk levels by owner</vt:lpstr>
      <vt:lpstr>Post-treatment risks</vt:lpstr>
      <vt:lpstr>Risks by risk level pre &amp; post</vt:lpstr>
      <vt:lpstr>Treatment option chosen</vt:lpstr>
      <vt:lpstr>Treatment cost </vt:lpstr>
      <vt:lpstr>Treatment action owner </vt:lpstr>
      <vt:lpstr>Reference Controls</vt:lpstr>
      <vt:lpstr>Example Risks and Controls</vt:lpstr>
      <vt:lpstr>Likelihood</vt:lpstr>
      <vt:lpstr>Impact</vt:lpstr>
      <vt:lpstr>Selection Tables</vt:lpstr>
      <vt:lpstr>Pivot tables</vt:lpstr>
      <vt:lpstr>NoRisksPre</vt:lpstr>
      <vt:lpstr>'Example Risks and Controls'!Print_Area</vt:lpstr>
      <vt:lpstr>Guidance!Print_Area</vt:lpstr>
      <vt:lpstr>'Reference Controls'!Print_Area</vt:lpstr>
      <vt:lpstr>'Risk Assessment'!Print_Area</vt:lpstr>
      <vt:lpstr>'Example Risks and Controls'!Print_Titles</vt:lpstr>
      <vt:lpstr>'Reference Controls'!Print_Titles</vt:lpstr>
      <vt:lpstr>'Risk Assessment'!Print_Titles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CertiKit ISO27001 Toolkit</dc:title>
  <dc:creator>Copyright CertiKit</dc:creator>
  <cp:lastModifiedBy>Mark Clifton</cp:lastModifiedBy>
  <cp:lastPrinted>2021-04-08T16:01:31Z</cp:lastPrinted>
  <dcterms:created xsi:type="dcterms:W3CDTF">2015-06-05T18:17:20Z</dcterms:created>
  <dcterms:modified xsi:type="dcterms:W3CDTF">2022-10-18T13:21:02Z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1274100</vt:r8>
  </property>
  <property fmtid="{D5CDD505-2E9C-101B-9397-08002B2CF9AE}" pid="3" name="ContentTypeId">
    <vt:lpwstr>0x010100DA843292D49187418BD21D9C97EA6F65</vt:lpwstr>
  </property>
  <property fmtid="{D5CDD505-2E9C-101B-9397-08002B2CF9AE}" pid="4" name="ComplianceAssetId">
    <vt:lpwstr/>
  </property>
  <property fmtid="{D5CDD505-2E9C-101B-9397-08002B2CF9AE}" pid="5" name="_ExtendedDescription">
    <vt:lpwstr/>
  </property>
  <property fmtid="{D5CDD505-2E9C-101B-9397-08002B2CF9AE}" pid="6" name="TriggerFlowInfo">
    <vt:lpwstr/>
  </property>
  <property fmtid="{D5CDD505-2E9C-101B-9397-08002B2CF9AE}" pid="7" name="MediaServiceImageTags">
    <vt:lpwstr/>
  </property>
</Properties>
</file>